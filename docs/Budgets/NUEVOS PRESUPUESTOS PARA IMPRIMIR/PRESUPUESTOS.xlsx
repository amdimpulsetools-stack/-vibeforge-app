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O OVOCITOS" sheetId="1" r:id="rId4"/>
    <sheet state="visible" name="FIV" sheetId="2" r:id="rId5"/>
    <sheet state="visible" name="FIV SEMEN DONADO" sheetId="3" r:id="rId6"/>
    <sheet state="visible" name="DUO STIM" sheetId="4" r:id="rId7"/>
    <sheet state="visible" name="METODO ROPA" sheetId="5" r:id="rId8"/>
    <sheet state="visible" name="OVODON CON NGS" sheetId="6" r:id="rId9"/>
    <sheet state="visible" name="OVODON DONANTE CONOCIDA" sheetId="7" r:id="rId10"/>
    <sheet state="visible" name="MIXTO" sheetId="8" r:id="rId11"/>
    <sheet state="visible" name="DESC DE OVOS Y FIV" sheetId="9" r:id="rId12"/>
    <sheet state="visible" name="TED" sheetId="10" r:id="rId13"/>
    <sheet state="visible" name="IIU" sheetId="11" r:id="rId14"/>
  </sheets>
  <definedNames/>
  <calcPr/>
  <extLst>
    <ext uri="GoogleSheetsCustomDataVersion2">
      <go:sheetsCustomData xmlns:go="http://customooxmlschemas.google.com/" r:id="rId15" roundtripDataChecksum="WAjervMHiA7nXhDBFHslG0dcpMZSJI23FKcfh+IkWWw="/>
    </ext>
  </extLst>
</workbook>
</file>

<file path=xl/sharedStrings.xml><?xml version="1.0" encoding="utf-8"?>
<sst xmlns="http://schemas.openxmlformats.org/spreadsheetml/2006/main" count="626" uniqueCount="485">
  <si>
    <t>PACIENTE: ROJAS SINCHE</t>
  </si>
  <si>
    <t>FECHA: 30/10/2025</t>
  </si>
  <si>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</si>
  <si>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b val="0"/>
        <color theme="1"/>
        <sz val="8.0"/>
      </rPr>
      <t>CRIOPRESERVACIÓN DE OVOCITOS</t>
    </r>
  </si>
  <si>
    <r>
      <rPr>
        <rFont val="Calibri"/>
        <b/>
        <i/>
        <color theme="1"/>
        <sz val="8.0"/>
      </rPr>
      <t>FASE DE ESTIMULACIÓN</t>
    </r>
    <r>
      <rPr>
        <rFont val="Calibri"/>
        <b/>
        <i/>
        <color theme="1"/>
        <sz val="8.0"/>
      </rPr>
      <t xml:space="preserve"> Y ASPIRACIÓN</t>
    </r>
  </si>
  <si>
    <t>Consulta medica y controles ovulatorios (maximo 4 controles)</t>
  </si>
  <si>
    <t>Aspiracion folicular</t>
  </si>
  <si>
    <t>Vitrificación de ovocitos</t>
  </si>
  <si>
    <t>Honorarios médicos (pago en efectivo)</t>
  </si>
  <si>
    <t>TOTAL:</t>
  </si>
  <si>
    <r>
      <rPr>
        <rFont val="Calibri"/>
        <b/>
        <color rgb="FFFF0000"/>
        <sz val="8.0"/>
      </rPr>
      <t>CONSIDERACIONES</t>
    </r>
  </si>
  <si>
    <t>A partir del 5to control tendrá un costo de s/300 por cita</t>
  </si>
  <si>
    <r>
      <rPr>
        <rFont val="Calibri"/>
        <color theme="1"/>
        <sz val="8.0"/>
      </rPr>
      <t>No incluye la legalización de los consentimientos informados</t>
    </r>
  </si>
  <si>
    <t xml:space="preserve">No incluye examenes previo al tratamiento (vigencia de 6 meses)
</t>
  </si>
  <si>
    <t>No incluye medicación para la estimulacion ovaricas ( costo aprox. s/5000 - s/6000)</t>
  </si>
  <si>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</si>
  <si>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</si>
  <si>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</si>
  <si>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</si>
  <si>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</si>
  <si>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</si>
  <si>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t>El presupuesto tiene una vigencia de 90 dias</t>
  </si>
  <si>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</si>
  <si>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</si>
  <si>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</si>
  <si>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</si>
  <si>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</si>
  <si>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</si>
  <si>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t>REPROFERTILIDAD EIRL</t>
  </si>
  <si>
    <r>
      <rPr>
        <rFont val="Roboto"/>
        <b/>
        <color theme="1"/>
        <sz val="7.0"/>
      </rPr>
      <t>(FIRMA Y NOMBRE DE LA PACIENTE)</t>
    </r>
  </si>
  <si>
    <t>ASESORA DE FERTILIDAD: OBST. VERENISSE VALENCIA</t>
  </si>
  <si>
    <t>PACIENTE: ASENCIOS REQUELME MELYSA</t>
  </si>
  <si>
    <r>
      <rPr>
        <rFont val="Calibri"/>
        <b/>
        <color rgb="FF000000"/>
        <sz val="12.0"/>
      </rPr>
      <t xml:space="preserve">MEDICO: </t>
    </r>
    <r>
      <rPr>
        <rFont val="Calibri"/>
        <color rgb="FF000000"/>
        <sz val="12.0"/>
      </rPr>
      <t>DRA PATRICIA QUISPE ALMANDOZ</t>
    </r>
  </si>
  <si>
    <r>
      <rPr>
        <rFont val="Calibri"/>
        <b/>
        <color theme="1"/>
        <sz val="12.0"/>
      </rPr>
      <t xml:space="preserve">TRATAMIENTO: </t>
    </r>
    <r>
      <rPr>
        <rFont val="Calibri"/>
        <color theme="1"/>
        <sz val="12.0"/>
      </rPr>
      <t xml:space="preserve">FECUNDACIÓN IN VITRO </t>
    </r>
  </si>
  <si>
    <t>FECUNDACION IN VITRO</t>
  </si>
  <si>
    <t>Consulta médica y  controles ovulatorios (maximo 5 controles)</t>
  </si>
  <si>
    <t>Honorarios médicos (pago en efectivo o transferencia bancaria)</t>
  </si>
  <si>
    <t xml:space="preserve">Aspiración folicular </t>
  </si>
  <si>
    <t>Procedimiento de FIV-ICSI</t>
  </si>
  <si>
    <t>Vitrificacion de embriones</t>
  </si>
  <si>
    <t>Medicacion hormonal para estimulacion ovarica aproximado</t>
  </si>
  <si>
    <r>
      <rPr>
        <rFont val="Calibri"/>
        <b/>
        <i/>
        <color theme="1"/>
        <sz val="12.0"/>
      </rPr>
      <t>TRANSFERENCIA EMBRIONARIA</t>
    </r>
  </si>
  <si>
    <t>Control endometrial (máximo 4)</t>
  </si>
  <si>
    <t xml:space="preserve">Desvitrificación de embriones                                                                                                                                                  </t>
  </si>
  <si>
    <r>
      <rPr>
        <rFont val="Calibri"/>
        <color theme="1"/>
        <sz val="12.0"/>
      </rPr>
      <t>Transferencia embrionaria</t>
    </r>
  </si>
  <si>
    <t>TEST GENÉTICO PREIMPLANTACIONAL PARA ANEUPLOIDIAS  (PGT-A) </t>
  </si>
  <si>
    <t>Esta prueba se realiza solo a los embriones que lleguen al estadío de blastocisto entre el día 5 y 6 de desarrollo embrionario mediante una biopsia.</t>
  </si>
  <si>
    <t xml:space="preserve"> TEST GENETICO PREIMPLANTACIONAL (PGT) PARA ANEUPLOIDIAS</t>
  </si>
  <si>
    <t>PRECIO EN DOLARES</t>
  </si>
  <si>
    <r>
      <rPr>
        <rFont val="Calibri"/>
        <color theme="1"/>
        <sz val="12.0"/>
      </rPr>
      <t>SCREENING GENETICO NGS EMB 1</t>
    </r>
  </si>
  <si>
    <r>
      <rPr>
        <rFont val="Calibri"/>
        <color theme="1"/>
        <sz val="12.0"/>
      </rPr>
      <t>US$ 1,100.00</t>
    </r>
  </si>
  <si>
    <r>
      <rPr>
        <rFont val="Calibri"/>
        <color theme="1"/>
        <sz val="12.0"/>
      </rPr>
      <t>SCREENING GENETICO NGS EMB 2</t>
    </r>
  </si>
  <si>
    <r>
      <rPr>
        <rFont val="Calibri"/>
        <color theme="1"/>
        <sz val="12.0"/>
      </rPr>
      <t>US$ 1,300.00</t>
    </r>
  </si>
  <si>
    <r>
      <rPr>
        <rFont val="Calibri"/>
        <color theme="1"/>
        <sz val="12.0"/>
      </rPr>
      <t>SCREENING GENETICO NGS EMB 3</t>
    </r>
  </si>
  <si>
    <t>US$ 1,625.00</t>
  </si>
  <si>
    <r>
      <rPr>
        <rFont val="Calibri"/>
        <color theme="1"/>
        <sz val="12.0"/>
      </rPr>
      <t>SCREENING GENETICO NGS EMB 4</t>
    </r>
  </si>
  <si>
    <r>
      <rPr>
        <rFont val="Calibri"/>
        <color theme="1"/>
        <sz val="12.0"/>
      </rPr>
      <t>US$ 2,050.00</t>
    </r>
  </si>
  <si>
    <r>
      <rPr>
        <rFont val="Calibri"/>
        <color theme="1"/>
        <sz val="12.0"/>
      </rPr>
      <t>SCREENING GENETICO NGS EMB 5</t>
    </r>
  </si>
  <si>
    <r>
      <rPr>
        <rFont val="Calibri"/>
        <color theme="1"/>
        <sz val="12.0"/>
      </rPr>
      <t>US$ 2,400.00</t>
    </r>
  </si>
  <si>
    <r>
      <rPr>
        <rFont val="Calibri"/>
        <color theme="1"/>
        <sz val="12.0"/>
      </rPr>
      <t>SCREENING GENETICO NGS EMB 6</t>
    </r>
  </si>
  <si>
    <r>
      <rPr>
        <rFont val="Calibri"/>
        <color theme="1"/>
        <sz val="12.0"/>
      </rPr>
      <t>US$ 2,600.00</t>
    </r>
  </si>
  <si>
    <r>
      <rPr>
        <rFont val="Calibri"/>
        <color theme="1"/>
        <sz val="12.0"/>
      </rPr>
      <t>SCREENING GENETICO NGS EMB 7</t>
    </r>
  </si>
  <si>
    <r>
      <rPr>
        <rFont val="Calibri"/>
        <color theme="1"/>
        <sz val="12.0"/>
      </rPr>
      <t>US$ 2,750.00</t>
    </r>
  </si>
  <si>
    <r>
      <rPr>
        <rFont val="Calibri"/>
        <color theme="1"/>
        <sz val="12.0"/>
      </rPr>
      <t>SCREENING GENETICO NGS EMB 8</t>
    </r>
  </si>
  <si>
    <t>US$ 2,850.00</t>
  </si>
  <si>
    <r>
      <rPr>
        <rFont val="Calibri"/>
        <color theme="1"/>
        <sz val="12.0"/>
      </rPr>
      <t>EMBRIÓN ADICIONAL</t>
    </r>
  </si>
  <si>
    <r>
      <rPr>
        <rFont val="Calibri"/>
        <color theme="1"/>
        <sz val="12.0"/>
      </rPr>
      <t>US$ 300.00</t>
    </r>
  </si>
  <si>
    <t xml:space="preserve">Biopsia embrionaria : </t>
  </si>
  <si>
    <t>s/ 3000</t>
  </si>
  <si>
    <r>
      <rPr>
        <rFont val="Calibri"/>
        <b/>
        <color rgb="FFFF0000"/>
        <sz val="12.0"/>
      </rPr>
      <t>CONSIDERACIONES</t>
    </r>
  </si>
  <si>
    <r>
      <rPr>
        <rFont val="Calibri"/>
        <color theme="1"/>
        <sz val="12.0"/>
      </rPr>
      <t>No incluye la legalización de los consentimientos informados</t>
    </r>
  </si>
  <si>
    <r>
      <rPr>
        <rFont val="Calibri"/>
        <color theme="1"/>
        <sz val="12.0"/>
      </rPr>
      <t>No incluye medicinas para la preparación endometrial de la paciente</t>
    </r>
  </si>
  <si>
    <r>
      <rPr>
        <rFont val="Calibri"/>
        <color theme="1"/>
        <sz val="12.0"/>
      </rPr>
      <t>No incluye el mantenimiento de embriones (S/ 80 mensual).</t>
    </r>
  </si>
  <si>
    <r>
      <rPr>
        <rFont val="Calibri"/>
        <b/>
        <color theme="1"/>
        <sz val="12.0"/>
      </rPr>
      <t>NOTA: los analisis se deben realizar previo al inicio del tratamiento como requisito primordial,sin ello no se podra empezar la estimulación.</t>
    </r>
  </si>
  <si>
    <r>
      <rPr>
        <rFont val="Calibri"/>
        <color rgb="FF000000"/>
        <sz val="12.0"/>
      </rPr>
      <t>Si en la primera visita no se llega a iniciar tratamiento debera cancelar el monto de s/ 300 por el control
ecografico</t>
    </r>
  </si>
  <si>
    <r>
      <rPr>
        <rFont val="Calibri"/>
        <b/>
        <color theme="1"/>
        <sz val="12.0"/>
        <u/>
      </rPr>
      <t>VIGENCIA DEL PRESUPUESTO</t>
    </r>
  </si>
  <si>
    <r>
      <rPr>
        <rFont val="Calibri"/>
        <color theme="1"/>
        <sz val="12.0"/>
      </rPr>
      <t>Una vez pagado el tratamiento el presupuesto tendrá una validez de 60 días</t>
    </r>
  </si>
  <si>
    <r>
      <rPr>
        <rFont val="Calibri"/>
        <color theme="1"/>
        <sz val="12.0"/>
      </rPr>
      <t>Una vez vencido el plazo ampliado, cualquier pago anticipado se utilizará con un monto que servirá para cubrir el nuevo presupuesto que se elabore con los precios vigentes a dicha fecha.</t>
    </r>
  </si>
  <si>
    <r>
      <rPr>
        <rFont val="Calibri"/>
        <b/>
        <color theme="1"/>
        <sz val="12.0"/>
      </rPr>
      <t>DEVOLUCIÓN DE ANTICIPOS O DE SERVICIOS NO REALIZADOS</t>
    </r>
  </si>
  <si>
    <t xml:space="preserve">En caso la paciente decida no continuar con el tratamiento en cualquiera de sus etapas, la empresa hará la devolución del dinero abonado de todos los procedimientos no realizados, con una retención del 10% por motivos de gastos administrativos.
</t>
  </si>
  <si>
    <t>HEMOS LEIDO Y ACEPTAMOS LAS CONDICIONES Y TERMINOS ASOCIADOS A LOS SERVICIOS INDICADOS EN</t>
  </si>
  <si>
    <t>en el presupuesto</t>
  </si>
  <si>
    <r>
      <rPr>
        <rFont val="Calibri"/>
        <b/>
        <color theme="1"/>
        <sz val="10.0"/>
      </rPr>
      <t>(FIRMA Y NOMBRE DE LA PACIENTE)</t>
    </r>
  </si>
  <si>
    <t xml:space="preserve">PACIENTE: </t>
  </si>
  <si>
    <t xml:space="preserve">FECHA: </t>
  </si>
  <si>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</si>
  <si>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color theme="1"/>
        <sz val="8.0"/>
      </rPr>
      <t xml:space="preserve">FECUNDACIÓN IN VITRO </t>
    </r>
  </si>
  <si>
    <t xml:space="preserve">FASE DE ESTIMULACIÓN </t>
  </si>
  <si>
    <t>FASE DE ASPIRACION Y FIV</t>
  </si>
  <si>
    <t>FASE DE CONGELACIÓN</t>
  </si>
  <si>
    <t>TRANSFERENCIA EMBRIONARIA</t>
  </si>
  <si>
    <r>
      <rPr>
        <rFont val="Calibri"/>
        <color theme="1"/>
        <sz val="8.0"/>
      </rPr>
      <t>*Control endometrial (máximo 3)</t>
    </r>
  </si>
  <si>
    <r>
      <rPr>
        <rFont val="Calibri"/>
        <color theme="1"/>
        <sz val="8.0"/>
      </rPr>
      <t>Transferencia embrionaria</t>
    </r>
  </si>
  <si>
    <r>
      <rPr>
        <rFont val="Calibri"/>
        <b/>
        <color rgb="FFFF0000"/>
        <sz val="8.0"/>
      </rPr>
      <t>CONSIDERACIONES</t>
    </r>
  </si>
  <si>
    <t>No incluye banco de semen + capacitación espermatica (costo s/1250)</t>
  </si>
  <si>
    <t>A partir del 6to control tendrá un costo de s/300 por cita</t>
  </si>
  <si>
    <r>
      <rPr>
        <rFont val="Calibri"/>
        <color theme="1"/>
        <sz val="8.0"/>
      </rPr>
      <t>No incluye la legalización de los consentimientos informados</t>
    </r>
  </si>
  <si>
    <r>
      <rPr>
        <rFont val="Calibri"/>
        <color theme="1"/>
        <sz val="8.0"/>
      </rPr>
      <t>No incluye medicinas para la preparación endometrial de la paciente</t>
    </r>
  </si>
  <si>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</si>
  <si>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</si>
  <si>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</si>
  <si>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t>Biopsia embrionaria</t>
  </si>
  <si>
    <r>
      <rPr>
        <rFont val="Arial MT"/>
        <color theme="1"/>
        <sz val="9.0"/>
      </rPr>
      <t>Estudio genetico</t>
    </r>
  </si>
  <si>
    <r>
      <rPr>
        <rFont val="Calibri"/>
        <color theme="1"/>
        <sz val="9.0"/>
      </rPr>
      <t>ver tabla adjunta</t>
    </r>
  </si>
  <si>
    <r>
      <rPr>
        <rFont val="Calibri"/>
        <b/>
        <color theme="1"/>
        <sz val="9.0"/>
        <u/>
      </rPr>
      <t>TEST GENÉTICO PREIMPLANTACIONAL (PGT-A) NGS (NEXT GENERATION SEQUENCING)</t>
    </r>
  </si>
  <si>
    <r>
      <rPr>
        <rFont val="Calibri"/>
        <color theme="1"/>
        <sz val="10.0"/>
      </rPr>
      <t>Esta prueba se realiza solo a los embriones que lleguen entre el día 5 y 6 de desarrollo embrionario mediante una biopsia.</t>
    </r>
  </si>
  <si>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</si>
  <si>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</si>
  <si>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</si>
  <si>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</si>
  <si>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</si>
  <si>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</si>
  <si>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</si>
  <si>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</si>
  <si>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</si>
  <si>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</si>
  <si>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</si>
  <si>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</si>
  <si>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</si>
  <si>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</si>
  <si>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</si>
  <si>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</si>
  <si>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</si>
  <si>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r>
      <rPr>
        <rFont val="Calibri"/>
        <b/>
        <color theme="1"/>
        <sz val="7.0"/>
      </rPr>
      <t xml:space="preserve">MUJER   </t>
    </r>
    <r>
      <rPr>
        <rFont val="Calibri"/>
        <color theme="1"/>
        <sz val="7.0"/>
      </rPr>
      <t>(vigencia de seis meses)
- Hemograma
- Coagulacion y sangria
- Examen completo de orina
- Grupo sanguineo y factor
- Glucosa
- HIV I y II
- Hepatitis B HBsAG
- Hepatitis C anticuerpos
- VDRL
- Chlamydia trachomatis Ig M
* Riesgo quirurgico
* Evaluación psicologica</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</si>
  <si>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</si>
  <si>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</si>
  <si>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</si>
  <si>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</si>
  <si>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</si>
  <si>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</si>
  <si>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</si>
  <si>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</si>
  <si>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</si>
  <si>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</si>
  <si>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REPRODUCCIONPERU SAC</t>
    </r>
  </si>
  <si>
    <r>
      <rPr>
        <rFont val="Roboto"/>
        <b/>
        <color theme="1"/>
        <sz val="7.0"/>
      </rPr>
      <t>(FIRMA Y NOMBRE DE LA PACIENTE)</t>
    </r>
  </si>
  <si>
    <t xml:space="preserve">ASESORA DE FERTILIDAD: OBST. </t>
  </si>
  <si>
    <t>FECHA: 27/01/2026</t>
  </si>
  <si>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</si>
  <si>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color theme="1"/>
        <sz val="8.0"/>
      </rPr>
      <t>DUO STIM</t>
    </r>
  </si>
  <si>
    <t>PRIMERA ESTIMULACIÓN OVÁRICA</t>
  </si>
  <si>
    <t>SEGUNDA ESTIMULACIÓN OVARICA</t>
  </si>
  <si>
    <t>Consulta médica y  controles ovulatorios (maximo 4 controles)</t>
  </si>
  <si>
    <t>CICLO DE DESCONGELACIÓN Y TRANSFERENCIA EMBRIONARIA</t>
  </si>
  <si>
    <r>
      <rPr>
        <rFont val="Calibri"/>
        <b/>
        <i/>
        <color theme="1"/>
        <sz val="8.0"/>
      </rPr>
      <t>TRANSFERENCIA EMBRIONARIA</t>
    </r>
  </si>
  <si>
    <r>
      <rPr>
        <rFont val="Calibri"/>
        <color theme="1"/>
        <sz val="8.0"/>
      </rPr>
      <t>*Control endometrial (máximo 3)</t>
    </r>
  </si>
  <si>
    <r>
      <rPr>
        <rFont val="Calibri"/>
        <color theme="1"/>
        <sz val="8.0"/>
      </rPr>
      <t>Transferencia embrionaria</t>
    </r>
  </si>
  <si>
    <r>
      <rPr>
        <rFont val="Calibri"/>
        <b/>
        <color rgb="FFFF0000"/>
        <sz val="8.0"/>
      </rPr>
      <t>CONSIDERACIONES</t>
    </r>
  </si>
  <si>
    <r>
      <rPr>
        <rFont val="Calibri"/>
        <color theme="1"/>
        <sz val="8.0"/>
      </rPr>
      <t>No incluye la legalización de los consentimientos informados</t>
    </r>
  </si>
  <si>
    <r>
      <rPr>
        <rFont val="Calibri"/>
        <color theme="1"/>
        <sz val="8.0"/>
      </rPr>
      <t>No incluye medicinas para la preparación endometrial de la paciente</t>
    </r>
  </si>
  <si>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</si>
  <si>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</si>
  <si>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</si>
  <si>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r>
      <rPr>
        <rFont val="Arial MT"/>
        <color theme="1"/>
        <sz val="9.0"/>
      </rPr>
      <t>Estudio genetico</t>
    </r>
  </si>
  <si>
    <r>
      <rPr>
        <rFont val="Calibri"/>
        <color theme="1"/>
        <sz val="9.0"/>
      </rPr>
      <t>ver tabla adjunta</t>
    </r>
  </si>
  <si>
    <r>
      <rPr>
        <rFont val="Calibri"/>
        <b/>
        <color theme="1"/>
        <sz val="9.0"/>
        <u/>
      </rPr>
      <t>TEST GENÉTICO PREIMPLANTACIONAL (PGT-A) NGS (NEXT GENERATION SEQUENCING)</t>
    </r>
  </si>
  <si>
    <r>
      <rPr>
        <rFont val="Calibri"/>
        <color theme="1"/>
        <sz val="10.0"/>
      </rPr>
      <t>Esta prueba se realiza solo a los embriones que lleguen entre el día 5 y 6 de desarrollo embrionario mediante una biopsia.</t>
    </r>
  </si>
  <si>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</si>
  <si>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</si>
  <si>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</si>
  <si>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</si>
  <si>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</si>
  <si>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</si>
  <si>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</si>
  <si>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</si>
  <si>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</si>
  <si>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</si>
  <si>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</si>
  <si>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</si>
  <si>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</si>
  <si>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</si>
  <si>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</si>
  <si>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</si>
  <si>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</si>
  <si>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r>
      <rPr>
        <rFont val="Calibri"/>
        <b/>
        <color theme="1"/>
        <sz val="7.0"/>
      </rPr>
      <t xml:space="preserve">MUJER   </t>
    </r>
    <r>
      <rPr>
        <rFont val="Calibri"/>
        <color theme="1"/>
        <sz val="7.0"/>
      </rPr>
      <t>(vigencia de seis meses)
- Hemograma
- Coagulacion y sangria
- Examen completo de orina
- Grupo sanguineo y factor
- Glucosa
- HIV I y II
- Hepatitis B HBsAG
- Hepatitis C anticuerpos
- VDRL
- Chlamydia trachomatis Ig M
* Riesgo quirurgico
* Evaluación psicologica</t>
    </r>
  </si>
  <si>
    <r>
      <rPr>
        <rFont val="Calibri"/>
        <b/>
        <color rgb="FF000000"/>
        <sz val="7.0"/>
      </rPr>
      <t xml:space="preserve">HOMBRE   </t>
    </r>
    <r>
      <rPr>
        <rFont val="Calibri"/>
        <color rgb="FF000000"/>
        <sz val="7.0"/>
      </rPr>
      <t xml:space="preserve">(vigencia de seis meses)
</t>
    </r>
    <r>
      <rPr>
        <rFont val="Calibri"/>
        <color rgb="FF000000"/>
        <sz val="7.0"/>
      </rPr>
      <t xml:space="preserve">- HIV I y II
</t>
    </r>
    <r>
      <rPr>
        <rFont val="Calibri"/>
        <color rgb="FF000000"/>
        <sz val="7.0"/>
      </rPr>
      <t xml:space="preserve">- Hepatitis B HBsAG
</t>
    </r>
    <r>
      <rPr>
        <rFont val="Calibri"/>
        <color rgb="FF000000"/>
        <sz val="7.0"/>
      </rPr>
      <t xml:space="preserve">- Hepatitis C anticuerpos
</t>
    </r>
    <r>
      <rPr>
        <rFont val="Calibri"/>
        <color rgb="FF000000"/>
        <sz val="7.0"/>
      </rPr>
      <t xml:space="preserve">- VDRL
</t>
    </r>
    <r>
      <rPr>
        <rFont val="Calibri"/>
        <color rgb="FF000000"/>
        <sz val="7.0"/>
      </rPr>
      <t xml:space="preserve">- Chlamydia trachomatis Ig M
</t>
    </r>
    <r>
      <rPr>
        <rFont val="Calibri"/>
        <b/>
        <color rgb="FF000000"/>
        <sz val="7.0"/>
      </rPr>
      <t xml:space="preserve">Examen de semen
</t>
    </r>
    <r>
      <rPr>
        <rFont val="Calibri"/>
        <color rgb="FF000000"/>
        <sz val="7.0"/>
      </rPr>
      <t xml:space="preserve">- Espermocultivo: no requiere abstinencia sexual     (vigencia de tres meses)
</t>
    </r>
    <r>
      <rPr>
        <rFont val="Calibri"/>
        <color rgb="FF000000"/>
        <sz val="7.0"/>
      </rPr>
      <t xml:space="preserve">- Espermatograma: se requiere abstinencia sexual de 3 a 5 días.
</t>
    </r>
    <r>
      <rPr>
        <rFont val="Calibri"/>
        <color rgb="FF000000"/>
        <sz val="7.0"/>
      </rPr>
      <t>- Test de fragmentación</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</si>
  <si>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</si>
  <si>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</si>
  <si>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</si>
  <si>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</si>
  <si>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</si>
  <si>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</si>
  <si>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</si>
  <si>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</si>
  <si>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</si>
  <si>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</si>
  <si>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(FIRMA Y NOMBRE DE LA PACIENTE)</t>
    </r>
  </si>
  <si>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</si>
  <si>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b val="0"/>
        <color theme="1"/>
        <sz val="8.0"/>
      </rPr>
      <t>METODO ROPA</t>
    </r>
  </si>
  <si>
    <t>1. TRATAMIENTO DONANTE: FECUNDACION IN VITRO</t>
  </si>
  <si>
    <t>FASE DE ESTIMULACIÓN</t>
  </si>
  <si>
    <t>Consullta medica y/o controles ovulatorios ( maximo 5 controles)</t>
  </si>
  <si>
    <t>FASE ASPIRACION Y FIV</t>
  </si>
  <si>
    <t>Congelación de embriones</t>
  </si>
  <si>
    <t>2. TRATAMIENTO RECEPTORA: TRANSFERENCIA EMBRIONARIA</t>
  </si>
  <si>
    <r>
      <rPr>
        <rFont val="Calibri"/>
        <b/>
        <i/>
        <color theme="1"/>
        <sz val="8.0"/>
      </rPr>
      <t>TRANSFERENCIA EMBRIONARIA</t>
    </r>
  </si>
  <si>
    <r>
      <rPr>
        <rFont val="Calibri"/>
        <color theme="1"/>
        <sz val="8.0"/>
      </rPr>
      <t>*Control endometrial (máximo 3)</t>
    </r>
  </si>
  <si>
    <r>
      <rPr>
        <rFont val="Calibri"/>
        <color theme="1"/>
        <sz val="8.0"/>
      </rPr>
      <t>Transferencia embrionaria</t>
    </r>
  </si>
  <si>
    <r>
      <rPr>
        <rFont val="Calibri"/>
        <b/>
        <color rgb="FFFF0000"/>
        <sz val="8.0"/>
      </rPr>
      <t>CONSIDERACIONES</t>
    </r>
  </si>
  <si>
    <t>No incluye banco de semen ( costo adicional)</t>
  </si>
  <si>
    <r>
      <rPr>
        <rFont val="Calibri"/>
        <color theme="1"/>
        <sz val="8.0"/>
      </rPr>
      <t>No incluye la legalización de los consentimientos informados</t>
    </r>
  </si>
  <si>
    <r>
      <rPr>
        <rFont val="Calibri"/>
        <color theme="1"/>
        <sz val="8.0"/>
      </rPr>
      <t>No incluye medicinas para la preparación endometrial de la paciente</t>
    </r>
  </si>
  <si>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</si>
  <si>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</si>
  <si>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</si>
  <si>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r>
      <rPr>
        <rFont val="Arial MT"/>
        <color theme="1"/>
        <sz val="9.0"/>
      </rPr>
      <t>Estudio genetico</t>
    </r>
  </si>
  <si>
    <r>
      <rPr>
        <rFont val="Calibri"/>
        <color theme="1"/>
        <sz val="9.0"/>
      </rPr>
      <t>ver tabla adjunta</t>
    </r>
  </si>
  <si>
    <r>
      <rPr>
        <rFont val="Calibri"/>
        <b/>
        <color theme="1"/>
        <sz val="9.0"/>
        <u/>
      </rPr>
      <t>TEST GENÉTICO PREIMPLANTACIONAL (PGT-A) NGS (NEXT GENERATION SEQUENCING)</t>
    </r>
  </si>
  <si>
    <r>
      <rPr>
        <rFont val="Calibri"/>
        <color theme="1"/>
        <sz val="10.0"/>
      </rPr>
      <t>Esta prueba se realiza solo a los embriones que lleguen entre el día 5 y 6 de desarrollo embrionario mediante una biopsia.</t>
    </r>
  </si>
  <si>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</si>
  <si>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</si>
  <si>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</si>
  <si>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</si>
  <si>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</si>
  <si>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</si>
  <si>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</si>
  <si>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</si>
  <si>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</si>
  <si>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</si>
  <si>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</si>
  <si>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</si>
  <si>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</si>
  <si>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</si>
  <si>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</si>
  <si>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</si>
  <si>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</si>
  <si>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r>
      <rPr>
        <rFont val="Calibri"/>
        <b/>
        <color theme="1"/>
        <sz val="7.0"/>
      </rPr>
      <t xml:space="preserve">DONANTE   </t>
    </r>
    <r>
      <rPr>
        <rFont val="Calibri"/>
        <color theme="1"/>
        <sz val="7.0"/>
      </rPr>
      <t>(vigencia de seis meses)
- Hemograma
- Coagulacion y sangria
- Examen completo de orina
- Grupo sanguineo y factor
- Glucosa
- HIV I y II
- Hepatitis B HBsAG
- Hepatitis C anticuerpos
- VDRL
- Chlamydia trachomatis Ig M
* Riesgo quirurgico
* Evaluación psicologica</t>
    </r>
  </si>
  <si>
    <r>
      <rPr>
        <rFont val="Times New Roman"/>
        <b/>
        <color rgb="FF000000"/>
        <sz val="10.0"/>
      </rPr>
      <t>RECEPTORA</t>
    </r>
    <r>
      <rPr>
        <rFont val="Times New Roman"/>
        <color rgb="FF000000"/>
        <sz val="10.0"/>
      </rPr>
      <t xml:space="preserve">   (vigencia de seis meses)
- Examen completo de orina
- Grupo sanguineo y factor
- Glucosa
- HIV I y II
- Hepatitis B HBsAG
- Hepatitis C anticuerpos
- VDRL
- Chlamydia trachomatis Ig M
</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</si>
  <si>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</si>
  <si>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</si>
  <si>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</si>
  <si>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</si>
  <si>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</si>
  <si>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</si>
  <si>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</si>
  <si>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</si>
  <si>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</si>
  <si>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</si>
  <si>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REPRODUCCIONPERU SAC</t>
    </r>
  </si>
  <si>
    <r>
      <rPr>
        <rFont val="Roboto"/>
        <b/>
        <color theme="1"/>
        <sz val="7.0"/>
      </rPr>
      <t>(FIRMA Y NOMBRE DE LA PACIENTE)</t>
    </r>
  </si>
  <si>
    <r>
      <rPr>
        <rFont val="Calibri"/>
        <b/>
        <color theme="1"/>
        <sz val="8.0"/>
      </rPr>
      <t>PRESUPUESTO</t>
    </r>
  </si>
  <si>
    <t>PACIENTE: ABANTO ESPINOZA GRISELDA</t>
  </si>
  <si>
    <r>
      <rPr>
        <rFont val="Calibri"/>
        <b/>
        <color rgb="FF000000"/>
        <sz val="8.0"/>
      </rPr>
      <t xml:space="preserve">MEDICO: </t>
    </r>
    <r>
      <rPr>
        <rFont val="Calibri"/>
        <color rgb="FF000000"/>
        <sz val="8.0"/>
      </rPr>
      <t>DRA PATRICIA QUISPE ALMANDOZ</t>
    </r>
  </si>
  <si>
    <r>
      <rPr>
        <rFont val="Calibri"/>
        <b/>
        <color rgb="FF000000"/>
        <sz val="8.0"/>
      </rPr>
      <t xml:space="preserve">TRATAMIENTO: </t>
    </r>
    <r>
      <rPr>
        <rFont val="Calibri"/>
        <color rgb="FF000000"/>
        <sz val="8.0"/>
      </rPr>
      <t>FECUNDACIÓN IN VITRO - OVODONACIÓN CON NGS</t>
    </r>
  </si>
  <si>
    <r>
      <rPr>
        <rFont val="Calibri"/>
        <b/>
        <i/>
        <color theme="1"/>
        <sz val="8.0"/>
      </rPr>
      <t>FASE DE ESTIMULACIÓN</t>
    </r>
  </si>
  <si>
    <r>
      <rPr>
        <rFont val="Calibri"/>
        <color rgb="FF000000"/>
        <sz val="8.0"/>
      </rPr>
      <t xml:space="preserve">Ovulos de la Donante (incluye medicación , examenes , evaluaciones y
</t>
    </r>
    <r>
      <rPr>
        <rFont val="Calibri"/>
        <color rgb="FF000000"/>
        <sz val="8.0"/>
      </rPr>
      <t>aspiración folicular)</t>
    </r>
  </si>
  <si>
    <r>
      <rPr>
        <rFont val="Calibri"/>
        <color theme="1"/>
        <sz val="8.0"/>
      </rPr>
      <t>Honorarios médicos (pago en efectivo)</t>
    </r>
  </si>
  <si>
    <r>
      <rPr>
        <rFont val="Calibri"/>
        <b/>
        <i/>
        <color theme="1"/>
        <sz val="8.0"/>
      </rPr>
      <t>FECUNDACIÓN IN VITRO Y NGS</t>
    </r>
  </si>
  <si>
    <t>Procedimiento de FIV o ICSI</t>
  </si>
  <si>
    <r>
      <rPr>
        <rFont val="Calibri"/>
        <color theme="1"/>
        <sz val="8.0"/>
      </rPr>
      <t>Cultivo embrionario hasta estadio blastocisto</t>
    </r>
  </si>
  <si>
    <t>Vitrificación de embriones</t>
  </si>
  <si>
    <t>*Control endometrial (máximo 4)</t>
  </si>
  <si>
    <r>
      <rPr>
        <rFont val="Calibri"/>
        <color theme="1"/>
        <sz val="8.0"/>
      </rPr>
      <t>Transferencia embrionaria</t>
    </r>
  </si>
  <si>
    <t xml:space="preserve">TOTAL SOLES                                                                     </t>
  </si>
  <si>
    <r>
      <rPr>
        <rFont val="Calibri"/>
        <b/>
        <color rgb="FFFF0000"/>
        <sz val="8.0"/>
      </rPr>
      <t>CONSIDERACIONES</t>
    </r>
  </si>
  <si>
    <r>
      <rPr>
        <rFont val="Calibri"/>
        <color theme="1"/>
        <sz val="8.0"/>
      </rPr>
      <t>No incluye la legalización de los consentimientos informados</t>
    </r>
  </si>
  <si>
    <r>
      <rPr>
        <rFont val="Calibri"/>
        <color theme="1"/>
        <sz val="8.0"/>
      </rPr>
      <t>No incluye medicinas para la preparación endometrial de la paciente</t>
    </r>
  </si>
  <si>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</si>
  <si>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</si>
  <si>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</si>
  <si>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r>
      <rPr>
        <rFont val="Arial MT"/>
        <color theme="1"/>
        <sz val="9.0"/>
      </rPr>
      <t>Estudio genetico</t>
    </r>
  </si>
  <si>
    <r>
      <rPr>
        <rFont val="Calibri"/>
        <color theme="1"/>
        <sz val="9.0"/>
      </rPr>
      <t>ver tabla adjunta</t>
    </r>
  </si>
  <si>
    <r>
      <rPr>
        <rFont val="Calibri"/>
        <b/>
        <color theme="1"/>
        <sz val="9.0"/>
        <u/>
      </rPr>
      <t>TEST GENÉTICO PREIMPLANTACIONAL (PGT-A) NGS (NEXT GENERATION SEQUENCING)</t>
    </r>
  </si>
  <si>
    <r>
      <rPr>
        <rFont val="Calibri"/>
        <color theme="1"/>
        <sz val="10.0"/>
      </rPr>
      <t>Esta prueba se realiza solo a los embriones que lleguen entre el día 5 y 6 de desarrollo embrionario mediante una biopsia.</t>
    </r>
  </si>
  <si>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</si>
  <si>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</si>
  <si>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</si>
  <si>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</si>
  <si>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</si>
  <si>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</si>
  <si>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</si>
  <si>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</si>
  <si>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</si>
  <si>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</si>
  <si>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</si>
  <si>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</si>
  <si>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</si>
  <si>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</si>
  <si>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</si>
  <si>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</si>
  <si>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</si>
  <si>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r>
      <rPr>
        <rFont val="Calibri"/>
        <b/>
        <color theme="1"/>
        <sz val="7.0"/>
      </rPr>
      <t xml:space="preserve">MUJER   </t>
    </r>
    <r>
      <rPr>
        <rFont val="Calibri"/>
        <color theme="1"/>
        <sz val="7.0"/>
      </rPr>
      <t>(vigencia de seis meses)
- Examen completo de orina
- Grupo sanguineo y factor
- Glucosa
- HIV I y II
- Hepatitis B HBsAG
- Hepatitis C anticuerpos
- VDRL
- Chlamydia trachomatis Ig M
* Evaluación psicologica</t>
    </r>
  </si>
  <si>
    <r>
      <rPr>
        <rFont val="Calibri"/>
        <b/>
        <color rgb="FF000000"/>
        <sz val="7.0"/>
      </rPr>
      <t xml:space="preserve">HOMBRE   </t>
    </r>
    <r>
      <rPr>
        <rFont val="Calibri"/>
        <color rgb="FF000000"/>
        <sz val="7.0"/>
      </rPr>
      <t xml:space="preserve">(vigencia de seis meses)
</t>
    </r>
    <r>
      <rPr>
        <rFont val="Calibri"/>
        <color rgb="FF000000"/>
        <sz val="7.0"/>
      </rPr>
      <t xml:space="preserve">- HIV I y II
</t>
    </r>
    <r>
      <rPr>
        <rFont val="Calibri"/>
        <color rgb="FF000000"/>
        <sz val="7.0"/>
      </rPr>
      <t xml:space="preserve">- Hepatitis B HBsAG
</t>
    </r>
    <r>
      <rPr>
        <rFont val="Calibri"/>
        <color rgb="FF000000"/>
        <sz val="7.0"/>
      </rPr>
      <t xml:space="preserve">- Hepatitis C anticuerpos
</t>
    </r>
    <r>
      <rPr>
        <rFont val="Calibri"/>
        <color rgb="FF000000"/>
        <sz val="7.0"/>
      </rPr>
      <t xml:space="preserve">- VDRL
</t>
    </r>
    <r>
      <rPr>
        <rFont val="Calibri"/>
        <color rgb="FF000000"/>
        <sz val="7.0"/>
      </rPr>
      <t xml:space="preserve">- Chlamydia trachomatis Ig M
</t>
    </r>
    <r>
      <rPr>
        <rFont val="Calibri"/>
        <b/>
        <color rgb="FF000000"/>
        <sz val="7.0"/>
      </rPr>
      <t xml:space="preserve">Examen de semen
</t>
    </r>
    <r>
      <rPr>
        <rFont val="Calibri"/>
        <color rgb="FF000000"/>
        <sz val="7.0"/>
      </rPr>
      <t xml:space="preserve">- Espermocultivo: no requiere abstinencia sexual     (vigencia de tres meses)
</t>
    </r>
    <r>
      <rPr>
        <rFont val="Calibri"/>
        <color rgb="FF000000"/>
        <sz val="7.0"/>
      </rPr>
      <t xml:space="preserve">- Espermatograma: se requiere abstinencia sexual de 3 a 5 días.
</t>
    </r>
    <r>
      <rPr>
        <rFont val="Calibri"/>
        <color rgb="FF000000"/>
        <sz val="7.0"/>
      </rPr>
      <t>- Test de fragmentación</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</si>
  <si>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</si>
  <si>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</si>
  <si>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</si>
  <si>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</si>
  <si>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</si>
  <si>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</si>
  <si>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</si>
  <si>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</si>
  <si>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</si>
  <si>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</si>
  <si>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(FIRMA Y NOMBRE DE LA PACIENTE)</t>
    </r>
  </si>
  <si>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</si>
  <si>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color theme="1"/>
        <sz val="8.0"/>
      </rPr>
      <t>FECUNDACIÓN IN VITRO - OVODONACIÓN CON DONANTE CONOCIDA</t>
    </r>
  </si>
  <si>
    <r>
      <rPr>
        <rFont val="Calibri"/>
        <b/>
        <i/>
        <color theme="1"/>
        <sz val="8.0"/>
      </rPr>
      <t>FASE DE ESTIMULACIÓN</t>
    </r>
  </si>
  <si>
    <r>
      <rPr>
        <rFont val="Calibri"/>
        <color rgb="FF000000"/>
        <sz val="8.0"/>
      </rPr>
      <t xml:space="preserve">Ovulos de la Donante (incluye medicación , examenes , evaluaciones y
</t>
    </r>
    <r>
      <rPr>
        <rFont val="Calibri"/>
        <color rgb="FF000000"/>
        <sz val="8.0"/>
      </rPr>
      <t>aspiración folicular)</t>
    </r>
  </si>
  <si>
    <r>
      <rPr>
        <rFont val="Calibri"/>
        <color theme="1"/>
        <sz val="8.0"/>
      </rPr>
      <t>Honorarios médicos (pago en efectivo)</t>
    </r>
  </si>
  <si>
    <r>
      <rPr>
        <rFont val="Calibri"/>
        <color theme="1"/>
        <sz val="8.0"/>
      </rPr>
      <t>S/ 4,000.00</t>
    </r>
  </si>
  <si>
    <r>
      <rPr>
        <rFont val="Calibri"/>
        <b/>
        <i/>
        <color theme="1"/>
        <sz val="8.0"/>
      </rPr>
      <t>FECUNDACIÓN IN VITRO Y NGS</t>
    </r>
  </si>
  <si>
    <r>
      <rPr>
        <rFont val="Calibri"/>
        <color theme="1"/>
        <sz val="8.0"/>
      </rPr>
      <t>Cultivo embrionario hasta estadio blastocisto</t>
    </r>
  </si>
  <si>
    <t xml:space="preserve">Biopsia embrionaria                                                                                                                          </t>
  </si>
  <si>
    <r>
      <rPr>
        <rFont val="Calibri"/>
        <color theme="1"/>
        <sz val="8.0"/>
      </rPr>
      <t>Vitrificación de embriones</t>
    </r>
  </si>
  <si>
    <r>
      <rPr>
        <rFont val="Calibri"/>
        <b/>
        <i/>
        <color theme="1"/>
        <sz val="8.0"/>
      </rPr>
      <t>TRANSFERENCIA EMBRIONARIA</t>
    </r>
  </si>
  <si>
    <r>
      <rPr>
        <rFont val="Calibri"/>
        <color theme="1"/>
        <sz val="8.0"/>
      </rPr>
      <t>*Control endometrial (máximo 3)</t>
    </r>
  </si>
  <si>
    <r>
      <rPr>
        <rFont val="Calibri"/>
        <color theme="1"/>
        <sz val="8.0"/>
      </rPr>
      <t>Transferencia embrionaria</t>
    </r>
  </si>
  <si>
    <r>
      <rPr>
        <rFont val="Calibri"/>
        <b/>
        <color rgb="FFFF0000"/>
        <sz val="8.0"/>
      </rPr>
      <t>CONSIDERACIONES</t>
    </r>
  </si>
  <si>
    <r>
      <rPr>
        <rFont val="Calibri"/>
        <color theme="1"/>
        <sz val="8.0"/>
      </rPr>
      <t>No incluye la legalización de los consentimientos informados</t>
    </r>
  </si>
  <si>
    <r>
      <rPr>
        <rFont val="Calibri"/>
        <color theme="1"/>
        <sz val="8.0"/>
      </rPr>
      <t>No incluye el mantenimiento de embriones (S/ 80 mensual).</t>
    </r>
  </si>
  <si>
    <r>
      <rPr>
        <rFont val="Calibri"/>
        <color theme="1"/>
        <sz val="8.0"/>
      </rPr>
      <t>No incluye medicinas para la preparación endometrial de la paciente</t>
    </r>
  </si>
  <si>
    <r>
      <rPr>
        <rFont val="Calibri"/>
        <color rgb="FF000000"/>
        <sz val="8.0"/>
      </rPr>
      <t xml:space="preserve">No incluye examenes previo al tratamiento (vigencia de 6 meses)
</t>
    </r>
    <r>
      <rPr>
        <rFont val="Calibri"/>
        <color rgb="FF000000"/>
        <sz val="8.0"/>
      </rPr>
      <t xml:space="preserve">- análisis de sangre de varon y mujer: s/ 826.00
</t>
    </r>
    <r>
      <rPr>
        <rFont val="Calibri"/>
        <color rgb="FF000000"/>
        <sz val="8.0"/>
      </rPr>
      <t>- evaluación psicológica s/ 200</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</si>
  <si>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</si>
  <si>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</si>
  <si>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r>
      <rPr>
        <rFont val="Arial MT"/>
        <color theme="1"/>
        <sz val="9.0"/>
      </rPr>
      <t>Estudio genetico</t>
    </r>
  </si>
  <si>
    <r>
      <rPr>
        <rFont val="Calibri"/>
        <color theme="1"/>
        <sz val="9.0"/>
      </rPr>
      <t>ver tabla adjunta</t>
    </r>
  </si>
  <si>
    <r>
      <rPr>
        <rFont val="Calibri"/>
        <b/>
        <color theme="1"/>
        <sz val="9.0"/>
        <u/>
      </rPr>
      <t>TEST GENÉTICO PREIMPLANTACIONAL (PGT-A) NGS (NEXT GENERATION SEQUENCING)</t>
    </r>
  </si>
  <si>
    <r>
      <rPr>
        <rFont val="Calibri"/>
        <color theme="1"/>
        <sz val="10.0"/>
      </rPr>
      <t>Esta prueba se realiza solo a los embriones que lleguen entre el día 5 y 6 de desarrollo embrionario mediante una biopsia.</t>
    </r>
  </si>
  <si>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</si>
  <si>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</si>
  <si>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</si>
  <si>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</si>
  <si>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</si>
  <si>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</si>
  <si>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</si>
  <si>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</si>
  <si>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</si>
  <si>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</si>
  <si>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</si>
  <si>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</si>
  <si>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</si>
  <si>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</si>
  <si>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</si>
  <si>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</si>
  <si>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</si>
  <si>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r>
      <rPr>
        <rFont val="Calibri"/>
        <b/>
        <color theme="1"/>
        <sz val="7.0"/>
      </rPr>
      <t xml:space="preserve">MUJER   </t>
    </r>
    <r>
      <rPr>
        <rFont val="Calibri"/>
        <color theme="1"/>
        <sz val="7.0"/>
      </rPr>
      <t>(vigencia de seis meses)
- Examen completo de orina
- Grupo sanguineo y factor
- Glucosa
- HIV I y II
- Hepatitis B HBsAG
- Hepatitis C anticuerpos
- VDRL
- Chlamydia trachomatis Ig M
* Evaluación psicologica</t>
    </r>
  </si>
  <si>
    <r>
      <rPr>
        <rFont val="Calibri"/>
        <b/>
        <color theme="1"/>
        <sz val="7.0"/>
      </rPr>
      <t xml:space="preserve">DONANTE  </t>
    </r>
    <r>
      <rPr>
        <rFont val="Calibri"/>
        <color theme="1"/>
        <sz val="7.0"/>
      </rPr>
      <t>(vigencia de seis meses)
- Examen completo de orina
- Grupo sanguineo y factor
- Glucosa
- HIV I y II
- Hepatitis B HBsAG
- Hepatitis C anticuerpos
- VDRL
- Chlamydia trachomatis Ig M
- Cocaina
- Marihuana
- Cariotipo
- Riesgo quirurgico
* Evaluación psicologica</t>
    </r>
  </si>
  <si>
    <r>
      <rPr>
        <rFont val="Calibri"/>
        <b/>
        <color rgb="FF000000"/>
        <sz val="7.0"/>
      </rPr>
      <t xml:space="preserve">HOMBRE   </t>
    </r>
    <r>
      <rPr>
        <rFont val="Calibri"/>
        <color rgb="FF000000"/>
        <sz val="7.0"/>
      </rPr>
      <t xml:space="preserve">(vigencia de seis meses)
</t>
    </r>
    <r>
      <rPr>
        <rFont val="Calibri"/>
        <color rgb="FF000000"/>
        <sz val="7.0"/>
      </rPr>
      <t xml:space="preserve">- HIV I y II
</t>
    </r>
    <r>
      <rPr>
        <rFont val="Calibri"/>
        <color rgb="FF000000"/>
        <sz val="7.0"/>
      </rPr>
      <t xml:space="preserve">- Hepatitis B HBsAG
</t>
    </r>
    <r>
      <rPr>
        <rFont val="Calibri"/>
        <color rgb="FF000000"/>
        <sz val="7.0"/>
      </rPr>
      <t xml:space="preserve">- Hepatitis C anticuerpos
</t>
    </r>
    <r>
      <rPr>
        <rFont val="Calibri"/>
        <color rgb="FF000000"/>
        <sz val="7.0"/>
      </rPr>
      <t xml:space="preserve">- VDRL
</t>
    </r>
    <r>
      <rPr>
        <rFont val="Calibri"/>
        <color rgb="FF000000"/>
        <sz val="7.0"/>
      </rPr>
      <t xml:space="preserve">- Chlamydia trachomatis Ig M
</t>
    </r>
    <r>
      <rPr>
        <rFont val="Calibri"/>
        <b/>
        <color rgb="FF000000"/>
        <sz val="7.0"/>
      </rPr>
      <t xml:space="preserve">Examen de semen
</t>
    </r>
    <r>
      <rPr>
        <rFont val="Calibri"/>
        <color rgb="FF000000"/>
        <sz val="7.0"/>
      </rPr>
      <t xml:space="preserve">- Espermocultivo: no requiere abstinencia sexual     (vigencia de tres meses)
</t>
    </r>
    <r>
      <rPr>
        <rFont val="Calibri"/>
        <color rgb="FF000000"/>
        <sz val="7.0"/>
      </rPr>
      <t xml:space="preserve">- Espermatograma: se requiere abstinencia sexual de 3 a 5 días.
</t>
    </r>
    <r>
      <rPr>
        <rFont val="Calibri"/>
        <color rgb="FF000000"/>
        <sz val="7.0"/>
      </rPr>
      <t>- Test de fragmentación</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</si>
  <si>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</si>
  <si>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</si>
  <si>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</si>
  <si>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</si>
  <si>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</si>
  <si>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</si>
  <si>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</si>
  <si>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</si>
  <si>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</si>
  <si>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</si>
  <si>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REPRODUCCIONPERU SAC</t>
    </r>
  </si>
  <si>
    <r>
      <rPr>
        <rFont val="Roboto"/>
        <b/>
        <color theme="1"/>
        <sz val="7.0"/>
      </rPr>
      <t>(FIRMA Y NOMBRE DE LA PACIENTE)</t>
    </r>
  </si>
  <si>
    <t>PACIENTE:OYOLA LAZARO CINTHIA</t>
  </si>
  <si>
    <t>FECHA: 13/10</t>
  </si>
  <si>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</si>
  <si>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color theme="1"/>
        <sz val="8.0"/>
      </rPr>
      <t>FECUNDACIÓN IN VITRO - OVODONACIÓN CON NGS (MIXTO)</t>
    </r>
  </si>
  <si>
    <r>
      <rPr>
        <rFont val="Calibri"/>
        <b/>
        <i/>
        <color theme="1"/>
        <sz val="8.0"/>
      </rPr>
      <t>FASE DE ESTIMULACIÓN</t>
    </r>
    <r>
      <rPr>
        <rFont val="Calibri"/>
        <b/>
        <i/>
        <color theme="1"/>
        <sz val="8.0"/>
      </rPr>
      <t xml:space="preserve"> DE DONANTE</t>
    </r>
  </si>
  <si>
    <t>Ovulos de la Donante (incluye medicación , examenes , evaluaciones y
aspiración folicular o desvitrificación de ovulos).</t>
  </si>
  <si>
    <r>
      <rPr>
        <rFont val="Calibri"/>
        <b/>
        <i/>
        <color theme="1"/>
        <sz val="8.0"/>
      </rPr>
      <t>FASE DE ESTIMULACIÓN</t>
    </r>
    <r>
      <rPr>
        <rFont val="Calibri"/>
        <b/>
        <i/>
        <color theme="1"/>
        <sz val="8.0"/>
      </rPr>
      <t xml:space="preserve"> DE PACIENTE</t>
    </r>
  </si>
  <si>
    <t>Consulta medica y controles ovulatorios (maximo 5 controles)</t>
  </si>
  <si>
    <t>PROCEDIMIENTO MIXTO (paciente - donante)</t>
  </si>
  <si>
    <r>
      <rPr>
        <rFont val="Calibri"/>
        <b/>
        <i/>
        <color theme="1"/>
        <sz val="8.0"/>
      </rPr>
      <t>TRANSFERENCIA EMBRIONARIA</t>
    </r>
  </si>
  <si>
    <r>
      <rPr>
        <rFont val="Calibri"/>
        <color theme="1"/>
        <sz val="8.0"/>
      </rPr>
      <t>*Control endometrial (máximo 3)</t>
    </r>
  </si>
  <si>
    <r>
      <rPr>
        <rFont val="Calibri"/>
        <color theme="1"/>
        <sz val="8.0"/>
      </rPr>
      <t>Transferencia embrionaria</t>
    </r>
  </si>
  <si>
    <r>
      <rPr>
        <rFont val="Calibri"/>
        <b/>
        <color rgb="FFFF0000"/>
        <sz val="8.0"/>
      </rPr>
      <t>CONSIDERACIONES</t>
    </r>
  </si>
  <si>
    <r>
      <rPr>
        <rFont val="Calibri"/>
        <color theme="1"/>
        <sz val="8.0"/>
      </rPr>
      <t>No incluye la legalización de los consentimientos informados</t>
    </r>
  </si>
  <si>
    <r>
      <rPr>
        <rFont val="Calibri"/>
        <color theme="1"/>
        <sz val="8.0"/>
      </rPr>
      <t>No incluye medicinas para la preparación endometrial de la paciente</t>
    </r>
  </si>
  <si>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</si>
  <si>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</si>
  <si>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</si>
  <si>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r>
      <rPr>
        <rFont val="Arial MT"/>
        <color theme="1"/>
        <sz val="9.0"/>
      </rPr>
      <t>Estudio genetico</t>
    </r>
  </si>
  <si>
    <r>
      <rPr>
        <rFont val="Calibri"/>
        <color theme="1"/>
        <sz val="9.0"/>
      </rPr>
      <t>ver tabla adjunta</t>
    </r>
  </si>
  <si>
    <r>
      <rPr>
        <rFont val="Calibri"/>
        <b/>
        <color theme="1"/>
        <sz val="9.0"/>
        <u/>
      </rPr>
      <t>TEST GENÉTICO PREIMPLANTACIONAL (PGT-A) NGS (NEXT GENERATION SEQUENCING)</t>
    </r>
  </si>
  <si>
    <r>
      <rPr>
        <rFont val="Calibri"/>
        <color theme="1"/>
        <sz val="10.0"/>
      </rPr>
      <t>Esta prueba se realiza solo a los embriones que lleguen entre el día 5 y 6 de desarrollo embrionario mediante una biopsia.</t>
    </r>
  </si>
  <si>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</si>
  <si>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</si>
  <si>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</si>
  <si>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</si>
  <si>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</si>
  <si>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</si>
  <si>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</si>
  <si>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</si>
  <si>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</si>
  <si>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</si>
  <si>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</si>
  <si>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</si>
  <si>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</si>
  <si>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</si>
  <si>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</si>
  <si>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</si>
  <si>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</si>
  <si>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t>MUJER   (vigencia de seis meses)
- Hemograma
- Coagulacion y sangria
- Examen completo de orina
- Grupo sanguineo y factor
- Glucosa
- HIV I y II
- Hepatitis B HBsAG
- Hepatitis C anticuerpos
- VDRL
- Chlamydia trachomatis Ig M
* Riesgo quirurgico
* Evaluación psicologica</t>
  </si>
  <si>
    <r>
      <rPr>
        <rFont val="Calibri"/>
        <b/>
        <color rgb="FF000000"/>
        <sz val="7.0"/>
      </rPr>
      <t xml:space="preserve">HOMBRE   </t>
    </r>
    <r>
      <rPr>
        <rFont val="Calibri"/>
        <color rgb="FF000000"/>
        <sz val="7.0"/>
      </rPr>
      <t xml:space="preserve">(vigencia de seis meses)
</t>
    </r>
    <r>
      <rPr>
        <rFont val="Calibri"/>
        <color rgb="FF000000"/>
        <sz val="7.0"/>
      </rPr>
      <t xml:space="preserve">- HIV I y II
</t>
    </r>
    <r>
      <rPr>
        <rFont val="Calibri"/>
        <color rgb="FF000000"/>
        <sz val="7.0"/>
      </rPr>
      <t xml:space="preserve">- Hepatitis B HBsAG
</t>
    </r>
    <r>
      <rPr>
        <rFont val="Calibri"/>
        <color rgb="FF000000"/>
        <sz val="7.0"/>
      </rPr>
      <t xml:space="preserve">- Hepatitis C anticuerpos
</t>
    </r>
    <r>
      <rPr>
        <rFont val="Calibri"/>
        <color rgb="FF000000"/>
        <sz val="7.0"/>
      </rPr>
      <t xml:space="preserve">- VDRL
</t>
    </r>
    <r>
      <rPr>
        <rFont val="Calibri"/>
        <color rgb="FF000000"/>
        <sz val="7.0"/>
      </rPr>
      <t xml:space="preserve">- Chlamydia trachomatis Ig M
</t>
    </r>
    <r>
      <rPr>
        <rFont val="Calibri"/>
        <b/>
        <color rgb="FF000000"/>
        <sz val="7.0"/>
      </rPr>
      <t xml:space="preserve">Examen de semen
</t>
    </r>
    <r>
      <rPr>
        <rFont val="Calibri"/>
        <color rgb="FF000000"/>
        <sz val="7.0"/>
      </rPr>
      <t xml:space="preserve">- Espermocultivo: no requiere abstinencia sexual     (vigencia de tres meses)
</t>
    </r>
    <r>
      <rPr>
        <rFont val="Calibri"/>
        <color rgb="FF000000"/>
        <sz val="7.0"/>
      </rPr>
      <t xml:space="preserve">- Espermatograma: se requiere abstinencia sexual de 3 a 5 días.
</t>
    </r>
    <r>
      <rPr>
        <rFont val="Calibri"/>
        <color rgb="FF000000"/>
        <sz val="7.0"/>
      </rPr>
      <t>- Test de fragmentación</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</si>
  <si>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</si>
  <si>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</si>
  <si>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</si>
  <si>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</si>
  <si>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</si>
  <si>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</si>
  <si>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</si>
  <si>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</si>
  <si>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</si>
  <si>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</si>
  <si>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(FIRMA Y NOMBRE DE LA PACIENTE)</t>
    </r>
  </si>
  <si>
    <t>ASESORA DE FERTILIDAD: OBST. VERENISSE  VALENCIA</t>
  </si>
  <si>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</si>
  <si>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b val="0"/>
        <color theme="1"/>
        <sz val="8.0"/>
      </rPr>
      <t>DESCONGELACION DE OVOCITOS YY FIV</t>
    </r>
  </si>
  <si>
    <t>FASE DE DESCONGELACIÓN</t>
  </si>
  <si>
    <t xml:space="preserve">Descongelación de óvulos </t>
  </si>
  <si>
    <t>FECUNDACIÓN IN VITRO</t>
  </si>
  <si>
    <t>HONORARIOS MEDICOS (PAGO EN EFECTIVO)</t>
  </si>
  <si>
    <t>Control endometrial (maximo 3 controles)</t>
  </si>
  <si>
    <t>Desvitrificación de embriones</t>
  </si>
  <si>
    <t>Transferencia embrionaria</t>
  </si>
  <si>
    <r>
      <rPr>
        <rFont val="Calibri"/>
        <b/>
        <color rgb="FFFF0000"/>
        <sz val="8.0"/>
      </rPr>
      <t>CONSIDERACIONES</t>
    </r>
  </si>
  <si>
    <t>A partir del 4to control tendrá un costo de s/300 por cita</t>
  </si>
  <si>
    <r>
      <rPr>
        <rFont val="Calibri"/>
        <color theme="1"/>
        <sz val="8.0"/>
      </rPr>
      <t>No incluye la legalización de los consentimientos informados</t>
    </r>
  </si>
  <si>
    <t>No incluye medicación para la prepración endometrial</t>
  </si>
  <si>
    <r>
      <rPr>
        <rFont val="Calibri"/>
        <color theme="1"/>
        <sz val="8.0"/>
      </rPr>
      <t>No incluye el mantenimiento de embriones (S/ 80 mensual).</t>
    </r>
  </si>
  <si>
    <r>
      <rPr>
        <rFont val="Calibri"/>
        <b/>
        <color theme="1"/>
        <sz val="8.0"/>
      </rPr>
      <t>NOTA: los analisis se deben realizar previo al inicio del tratamiento como requisito primordial,sin ello no se podra empezar la estimulación.</t>
    </r>
  </si>
  <si>
    <r>
      <rPr>
        <rFont val="Arial"/>
        <b/>
        <color theme="1"/>
        <sz val="9.0"/>
      </rPr>
      <t>GASTOS ADICIONALES PARA ESTUDIO GENÉTICO</t>
    </r>
  </si>
  <si>
    <r>
      <rPr>
        <rFont val="Arial MT"/>
        <color theme="1"/>
        <sz val="9.0"/>
      </rPr>
      <t>Estudio genetico</t>
    </r>
  </si>
  <si>
    <r>
      <rPr>
        <rFont val="Calibri"/>
        <color theme="1"/>
        <sz val="9.0"/>
      </rPr>
      <t>ver tabla adjunta</t>
    </r>
  </si>
  <si>
    <r>
      <rPr>
        <rFont val="Calibri"/>
        <b/>
        <color theme="1"/>
        <sz val="8.0"/>
        <u/>
      </rPr>
      <t>TEST GENÉTICO PREIMPLANTACIONAL (PGT-A) NGS (NEXT GENERATION SEQUENCING)</t>
    </r>
  </si>
  <si>
    <t>Esta prueba se realiza solo a los embriones que lleguen entre el día 5 y 6 de desarrollo embrionario mediante una biopsia.</t>
  </si>
  <si>
    <r>
      <rPr>
        <rFont val="Calibri"/>
        <color theme="1"/>
        <sz val="8.0"/>
      </rPr>
      <t>SCREENING GENETICO NGS EMB 1</t>
    </r>
  </si>
  <si>
    <r>
      <rPr>
        <rFont val="Calibri"/>
        <color theme="1"/>
        <sz val="8.0"/>
      </rPr>
      <t>US$ 1,100.00</t>
    </r>
  </si>
  <si>
    <r>
      <rPr>
        <rFont val="Calibri"/>
        <color theme="1"/>
        <sz val="8.0"/>
      </rPr>
      <t>SCREENING GENETICO NGS EMB 2</t>
    </r>
  </si>
  <si>
    <r>
      <rPr>
        <rFont val="Calibri"/>
        <color theme="1"/>
        <sz val="8.0"/>
      </rPr>
      <t>US$ 1,300.00</t>
    </r>
  </si>
  <si>
    <r>
      <rPr>
        <rFont val="Calibri"/>
        <color theme="1"/>
        <sz val="8.0"/>
      </rPr>
      <t>SCREENING GENETICO NGS EMB 3</t>
    </r>
  </si>
  <si>
    <r>
      <rPr>
        <rFont val="Calibri"/>
        <color theme="1"/>
        <sz val="8.0"/>
      </rPr>
      <t>SCREENING GENETICO NGS EMB 4</t>
    </r>
  </si>
  <si>
    <r>
      <rPr>
        <rFont val="Calibri"/>
        <color theme="1"/>
        <sz val="8.0"/>
      </rPr>
      <t>US$ 2,050.00</t>
    </r>
  </si>
  <si>
    <r>
      <rPr>
        <rFont val="Calibri"/>
        <color theme="1"/>
        <sz val="8.0"/>
      </rPr>
      <t>SCREENING GENETICO NGS EMB 5</t>
    </r>
  </si>
  <si>
    <r>
      <rPr>
        <rFont val="Calibri"/>
        <color theme="1"/>
        <sz val="8.0"/>
      </rPr>
      <t>US$ 2,400.00</t>
    </r>
  </si>
  <si>
    <r>
      <rPr>
        <rFont val="Calibri"/>
        <color theme="1"/>
        <sz val="8.0"/>
      </rPr>
      <t>SCREENING GENETICO NGS EMB 6</t>
    </r>
  </si>
  <si>
    <r>
      <rPr>
        <rFont val="Calibri"/>
        <color theme="1"/>
        <sz val="8.0"/>
      </rPr>
      <t>US$ 2,600.00</t>
    </r>
  </si>
  <si>
    <r>
      <rPr>
        <rFont val="Calibri"/>
        <color theme="1"/>
        <sz val="8.0"/>
      </rPr>
      <t>SCREENING GENETICO NGS EMB 7</t>
    </r>
  </si>
  <si>
    <r>
      <rPr>
        <rFont val="Calibri"/>
        <color theme="1"/>
        <sz val="8.0"/>
      </rPr>
      <t>US$ 2,750.00</t>
    </r>
  </si>
  <si>
    <r>
      <rPr>
        <rFont val="Calibri"/>
        <color theme="1"/>
        <sz val="8.0"/>
      </rPr>
      <t>SCREENING GENETICO NGS EMB 8</t>
    </r>
  </si>
  <si>
    <r>
      <rPr>
        <rFont val="Calibri"/>
        <color theme="1"/>
        <sz val="8.0"/>
      </rPr>
      <t>EMBRIÓN ADICIONAL</t>
    </r>
  </si>
  <si>
    <r>
      <rPr>
        <rFont val="Calibri"/>
        <color theme="1"/>
        <sz val="8.0"/>
      </rPr>
      <t>US$ 300.00</t>
    </r>
  </si>
  <si>
    <r>
      <rPr>
        <rFont val="Calibri"/>
        <b/>
        <color theme="1"/>
        <sz val="8.0"/>
        <u/>
      </rPr>
      <t>EVALUACIONES PREVIAS AL TRATAMIENTO DE REPRODUCCIÓN ASISTIDA</t>
    </r>
  </si>
  <si>
    <r>
      <rPr>
        <rFont val="Times New Roman"/>
        <b/>
        <color rgb="FF000000"/>
        <sz val="10.0"/>
      </rPr>
      <t>MUJER</t>
    </r>
    <r>
      <rPr>
        <rFont val="Times New Roman"/>
        <color rgb="FF000000"/>
        <sz val="10.0"/>
      </rPr>
      <t xml:space="preserve"> (vigencia de seis meses)
- Examen completo de orina
- Grupo sanguineo y factor
- Glucosa
- HIV I y II
- Hepatitis B HBsAG
- Hepatitis C anticuerpos
- VDRL
- Chlamydia trachomatis Ig M
</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</si>
  <si>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</si>
  <si>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</si>
  <si>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</si>
  <si>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</si>
  <si>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</si>
  <si>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</si>
  <si>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</si>
  <si>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</si>
  <si>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</si>
  <si>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</si>
  <si>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REPRODUCCIONPERU SAC</t>
    </r>
  </si>
  <si>
    <r>
      <rPr>
        <rFont val="Roboto"/>
        <b/>
        <color theme="1"/>
        <sz val="7.0"/>
      </rPr>
      <t>(FIRMA Y NOMBRE DE LA PACIENTE)</t>
    </r>
  </si>
  <si>
    <r>
      <rPr>
        <rFont val="Calibri"/>
        <b/>
        <color rgb="FF000000"/>
        <sz val="8.0"/>
      </rPr>
      <t xml:space="preserve">MEDICO: </t>
    </r>
    <r>
      <rPr>
        <rFont val="Calibri"/>
        <color rgb="FF000000"/>
        <sz val="8.0"/>
      </rPr>
      <t>DRA PATRICIA QUISPE ALMANDOZ</t>
    </r>
  </si>
  <si>
    <r>
      <rPr>
        <rFont val="Calibri"/>
        <b/>
        <color theme="1"/>
        <sz val="8.0"/>
      </rPr>
      <t xml:space="preserve">TRATAMIENTO: </t>
    </r>
    <r>
      <rPr>
        <rFont val="Calibri"/>
        <b val="0"/>
        <color theme="1"/>
        <sz val="8.0"/>
      </rPr>
      <t>TRANSFERENCIA EMBRIONARIA</t>
    </r>
  </si>
  <si>
    <t>Control endometrial ( maximo 3 controles)</t>
  </si>
  <si>
    <r>
      <rPr>
        <rFont val="Calibri"/>
        <b/>
        <color rgb="FFFF0000"/>
        <sz val="8.0"/>
      </rPr>
      <t>CONSIDERACIONES</t>
    </r>
  </si>
  <si>
    <r>
      <rPr>
        <rFont val="Calibri"/>
        <color theme="1"/>
        <sz val="8.0"/>
      </rPr>
      <t>No incluye la legalización de los consentimientos informados</t>
    </r>
  </si>
  <si>
    <t xml:space="preserve">No incluye examenes pre transferencia (vigencia de 6 meses)
</t>
  </si>
  <si>
    <t xml:space="preserve">No incluye medicación para la preparación endometrial </t>
  </si>
  <si>
    <r>
      <rPr>
        <rFont val="Calibri"/>
        <b/>
        <color theme="1"/>
        <sz val="8.0"/>
      </rPr>
      <t>NOTA: los analisis se deben realizar previo al inicio del tratamiento como requisito primordial,sin ello no se podra empezar la estimulación.</t>
    </r>
  </si>
  <si>
    <r>
      <rPr>
        <rFont val="Calibri"/>
        <b/>
        <color theme="1"/>
        <sz val="8.0"/>
        <u/>
      </rPr>
      <t>EVALUACIONES PREVIAS AL TRATAMIENTO DE REPRODUCCIÓN ASISTIDA</t>
    </r>
  </si>
  <si>
    <r>
      <rPr>
        <rFont val="Times New Roman"/>
        <b/>
        <color rgb="FF000000"/>
        <sz val="10.0"/>
      </rPr>
      <t xml:space="preserve">MUJER </t>
    </r>
    <r>
      <rPr>
        <rFont val="Times New Roman"/>
        <color rgb="FF000000"/>
        <sz val="10.0"/>
      </rPr>
      <t xml:space="preserve">  (vigencia de seis meses)
- Examen completo de orina
- Grupo sanguineo y factor
- Glucosa
- HIV I y II
- Hepatitis B HBsAG
- Hepatitis C anticuerpos
- VDRL
- Chlamydia trachomatis Ig M
</t>
    </r>
  </si>
  <si>
    <r>
      <rPr>
        <rFont val="Calibri"/>
        <b/>
        <color theme="1"/>
        <sz val="9.0"/>
        <u/>
      </rPr>
      <t>TERMINOS Y CONDICIONES DE LOS SERVICIOS DETALLADOS EN EL PRESUPUESTO </t>
    </r>
  </si>
  <si>
    <r>
      <rPr>
        <rFont val="Calibri"/>
        <color rgb="FF000000"/>
        <sz val="10.0"/>
      </rPr>
      <t xml:space="preserve">No incluye adicionales en materiales,medicinas,procedimientos u otro tipo de gastos no señalados en el
</t>
    </r>
    <r>
      <rPr>
        <rFont val="Calibri"/>
        <color rgb="FF000000"/>
        <sz val="10.0"/>
      </rPr>
      <t>presente presupuesto.</t>
    </r>
  </si>
  <si>
    <r>
      <rPr>
        <rFont val="Calibri"/>
        <color rgb="FF000000"/>
        <sz val="10.0"/>
      </rPr>
      <t xml:space="preserve">Si en la primera visita no se llega a iniciar tratamiento debera cancelar el monto de s/ 300 por el control
</t>
    </r>
    <r>
      <rPr>
        <rFont val="Calibri"/>
        <color rgb="FF000000"/>
        <sz val="10.0"/>
      </rPr>
      <t>ecografico</t>
    </r>
  </si>
  <si>
    <r>
      <rPr>
        <rFont val="Calibri"/>
        <b/>
        <color theme="1"/>
        <sz val="10.0"/>
        <u/>
      </rPr>
      <t>VIGENCIA DEL PRESUPUESTO</t>
    </r>
  </si>
  <si>
    <r>
      <rPr>
        <rFont val="Calibri"/>
        <color theme="1"/>
        <sz val="10.0"/>
      </rPr>
      <t>En el caso de un presupuesto promocional, la vigencia del mismo será hasta la fecha que finalice la promoción.</t>
    </r>
  </si>
  <si>
    <r>
      <rPr>
        <rFont val="Calibri"/>
        <color theme="1"/>
        <sz val="10.0"/>
      </rPr>
      <t>Una vez pagado el tratamiento el presupuesto tendrá una validez de 60 días</t>
    </r>
  </si>
  <si>
    <r>
      <rPr>
        <rFont val="Calibri"/>
        <color theme="1"/>
        <sz val="10.0"/>
      </rPr>
      <t>Una vez vencido el plazo ampliado, cualquier pago anticipado se utilizará con un monto que servirá para cubrir el nuevo presupuesto que se elabore con los precios vigentes a dicha fecha.</t>
    </r>
  </si>
  <si>
    <r>
      <rPr>
        <rFont val="Calibri"/>
        <b/>
        <color theme="1"/>
        <sz val="9.0"/>
      </rPr>
      <t>DEVOLUCIÓN DE ANTICIPOS O DE SERVICIOS NO REALIZADOS</t>
    </r>
  </si>
  <si>
    <r>
      <rPr>
        <rFont val="Calibri"/>
        <color rgb="FF000000"/>
        <sz val="9.0"/>
      </rPr>
      <t xml:space="preserve">En caso la paciente decida no continuar con el tratamiento en cualquiera de sus etapas, la empresa hará la devolución del dinero abonado de todos los procedimientos no realizados, con una retención del 10% por motivos de gastos administrativos.
</t>
    </r>
    <r>
      <rPr>
        <rFont val="Calibri"/>
        <color rgb="FF000000"/>
        <sz val="9.0"/>
      </rPr>
      <t>No aplica para tratamientos para tratamientos promocionales.</t>
    </r>
  </si>
  <si>
    <r>
      <rPr>
        <rFont val="Calibri"/>
        <b/>
        <color theme="1"/>
        <sz val="8.0"/>
      </rPr>
      <t>HEMOS LEIDO Y ACEPTAMOS LAS CONDICIONES Y TERMINOS ASOCIADOS A LOS SERVICIOS INDICADOS EN EL PRESUPUESTO</t>
    </r>
  </si>
  <si>
    <r>
      <rPr>
        <rFont val="Roboto"/>
        <b/>
        <color theme="1"/>
        <sz val="7.0"/>
      </rPr>
      <t>REPRODUCCIONPERU SAC</t>
    </r>
  </si>
  <si>
    <r>
      <rPr>
        <rFont val="Roboto"/>
        <b/>
        <color theme="1"/>
        <sz val="7.0"/>
      </rPr>
      <t>(FIRMA Y NOMBRE DE LA PACIENTE)</t>
    </r>
  </si>
  <si>
    <t>PACIENTE: ANDIA SALAZAR ADELAIDA</t>
  </si>
  <si>
    <r>
      <rPr>
        <rFont val="Calibri"/>
        <b/>
        <color rgb="FF000000"/>
        <sz val="8.0"/>
      </rPr>
      <t xml:space="preserve">MEDICO: </t>
    </r>
    <r>
      <rPr>
        <rFont val="Calibri"/>
        <color rgb="FF000000"/>
        <sz val="8.0"/>
      </rPr>
      <t>DRA PATRICIA QUISPE ALMANDOZ</t>
    </r>
  </si>
  <si>
    <r>
      <rPr>
        <rFont val="Calibri"/>
        <b/>
        <color theme="1"/>
        <sz val="8.0"/>
      </rPr>
      <t>TRATAMIENTO:</t>
    </r>
    <r>
      <rPr>
        <rFont val="Calibri"/>
        <b val="0"/>
        <color theme="1"/>
        <sz val="8.0"/>
      </rPr>
      <t xml:space="preserve"> INSEMINACIÓN ARTIFICIAL </t>
    </r>
  </si>
  <si>
    <t>INSEMINACIÓN ARTIFICIAL (Pago en efectivo)</t>
  </si>
  <si>
    <t>Control folicular</t>
  </si>
  <si>
    <t>Precedimiento de Inseminación artificial</t>
  </si>
  <si>
    <t xml:space="preserve">Honorarios médicos </t>
  </si>
  <si>
    <r>
      <rPr>
        <rFont val="Calibri"/>
        <b/>
        <color rgb="FFFF0000"/>
        <sz val="8.0"/>
      </rPr>
      <t>CONSIDERACIONES</t>
    </r>
  </si>
  <si>
    <t>No incluye capacitación espermatica s/500</t>
  </si>
  <si>
    <t>No incluye medicación para la estimulacion ovaricas ( costo aprox. s/1500 - s/2000)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</si>
</sst>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S/&quot;\ * #,##0.00_-;\-&quot;S/&quot;\ * #,##0.00_-;_-&quot;S/&quot;\ * &quot;-&quot;??_-;_-@"/>
    <numFmt numFmtId="165" formatCode="&quot;S/&quot;\ #,##0.00"/>
    <numFmt numFmtId="166" formatCode="&quot;S/&quot;\ #,##0.00;[Red]\-&quot;S/&quot;\ #,##0.00"/>
    <numFmt numFmtId="167" formatCode="_-[$S/-280A]\ * #,##0.00_-;\-[$S/-280A]\ * #,##0.00_-;_-[$S/-280A]\ * &quot;-&quot;??_-;_-@"/>
    <numFmt numFmtId="168" formatCode="&quot;S/&quot;\ #,##0.000;[Red]\-&quot;S/&quot;\ #,##0.000"/>
  </numFmts>
  <fonts count="28">
    <font>
      <sz val="10.0"/>
      <color rgb="FF000000"/>
      <name val="Times New Roman"/>
      <scheme val="minor"/>
    </font>
    <font>
      <b/>
      <sz val="8.0"/>
      <color theme="1"/>
      <name val="Calibri"/>
    </font>
    <font>
      <sz val="10.0"/>
      <color rgb="FF000000"/>
      <name val="Times New Roman"/>
    </font>
    <font>
      <b/>
      <i/>
      <sz val="8.0"/>
      <color theme="1"/>
      <name val="Calibri"/>
    </font>
    <font>
      <sz val="8.0"/>
      <color theme="1"/>
      <name val="Calibri"/>
    </font>
    <font>
      <b/>
      <sz val="8.0"/>
      <color theme="1"/>
      <name val="Ebrima"/>
    </font>
    <font>
      <b/>
      <sz val="9.0"/>
      <color theme="1"/>
      <name val="Calibri"/>
    </font>
    <font>
      <b/>
      <sz val="10.0"/>
      <color theme="1"/>
      <name val="Calibri"/>
    </font>
    <font/>
    <font>
      <sz val="10.0"/>
      <color theme="1"/>
      <name val="Calibri"/>
    </font>
    <font>
      <b/>
      <sz val="7.0"/>
      <color theme="1"/>
      <name val="Roboto"/>
    </font>
    <font>
      <sz val="9.0"/>
      <color theme="1"/>
      <name val="Calibri"/>
    </font>
    <font>
      <sz val="12.0"/>
      <color theme="1"/>
      <name val="Calibri"/>
    </font>
    <font>
      <b/>
      <sz val="12.0"/>
      <color theme="1"/>
      <name val="Calibri"/>
    </font>
    <font>
      <sz val="12.0"/>
      <color rgb="FF000000"/>
      <name val="Calibri"/>
    </font>
    <font>
      <b/>
      <i/>
      <sz val="12.0"/>
      <color theme="1"/>
      <name val="Calibri"/>
    </font>
    <font>
      <b/>
      <u/>
      <sz val="12.0"/>
      <color theme="1"/>
      <name val="Calibri"/>
    </font>
    <font>
      <b/>
      <u/>
      <sz val="12.0"/>
      <color theme="1"/>
      <name val="Calibri"/>
    </font>
    <font>
      <b/>
      <u/>
      <sz val="12.0"/>
      <color theme="1"/>
      <name val="Calibri"/>
    </font>
    <font>
      <b/>
      <sz val="7.0"/>
      <color theme="1"/>
      <name val="Calibri"/>
    </font>
    <font>
      <sz val="10.0"/>
      <color rgb="FF000000"/>
      <name val="Calibri"/>
    </font>
    <font>
      <sz val="8.0"/>
      <color theme="1"/>
      <name val="Arial"/>
    </font>
    <font>
      <b/>
      <sz val="9.0"/>
      <color theme="1"/>
      <name val="Arial"/>
    </font>
    <font>
      <sz val="9.0"/>
      <color theme="1"/>
      <name val="Arial"/>
    </font>
    <font>
      <sz val="7.0"/>
      <color theme="1"/>
      <name val="Calibri"/>
    </font>
    <font>
      <sz val="10.0"/>
      <color theme="1"/>
      <name val="Times New Roman"/>
    </font>
    <font>
      <sz val="9.0"/>
      <color rgb="FF000000"/>
      <name val="Ebrima"/>
    </font>
    <font>
      <b/>
      <sz val="8.0"/>
      <color rgb="FF000000"/>
      <name val="Ebrima"/>
    </font>
  </fonts>
  <fills count="7">
    <fill>
      <patternFill patternType="none"/>
    </fill>
    <fill>
      <patternFill patternType="lightGray"/>
    </fill>
    <fill>
      <patternFill patternType="solid">
        <fgColor rgb="FFFFFF66"/>
        <bgColor rgb="FFFFFF66"/>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FFC000"/>
        <bgColor rgb="FFFFC000"/>
      </patternFill>
    </fill>
  </fills>
  <borders count="21">
    <border/>
    <border>
      <left/>
      <right/>
      <top/>
      <bottom/>
    </border>
    <border>
      <left/>
      <top/>
      <bottom/>
    </border>
    <border>
      <top/>
      <bottom/>
    </border>
    <border>
      <right/>
      <top/>
      <bottom/>
    </border>
    <border>
      <left/>
      <right/>
      <top/>
      <bottom style="thin">
        <color rgb="FF000000"/>
      </bottom>
    </border>
    <border>
      <left/>
      <right/>
      <top style="thin">
        <color rgb="FF000000"/>
      </top>
      <bottom/>
    </border>
    <border>
      <left/>
      <right/>
      <top/>
    </border>
    <border>
      <left/>
      <right/>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bottom/>
    </border>
    <border>
      <right/>
      <bottom/>
    </border>
    <border>
      <top style="thin">
        <color rgb="FF000000"/>
      </top>
    </border>
    <border>
      <right style="thin">
        <color rgb="FF000000"/>
      </right>
      <top style="thin">
        <color rgb="FF000000"/>
      </top>
      <bottom style="thin">
        <color rgb="FF000000"/>
      </bottom>
    </border>
    <border>
      <left/>
      <top/>
    </border>
    <border>
      <right/>
      <top/>
    </border>
    <border>
      <bottom style="thin">
        <color rgb="FF000000"/>
      </bottom>
    </border>
  </borders>
  <cellStyleXfs count="1">
    <xf borderId="0" fillId="0" fontId="0" numFmtId="0" applyAlignment="1" applyFont="1"/>
  </cellStyleXfs>
  <cellXfs count="162">
    <xf borderId="0" fillId="0" fontId="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bottom" wrapText="1"/>
    </xf>
    <xf borderId="1" fillId="2" fontId="3" numFmtId="0" xfId="0" applyAlignment="1" applyBorder="1" applyFill="1" applyFont="1">
      <alignment horizontal="left" shrinkToFit="0" vertical="top" wrapText="1"/>
    </xf>
    <xf borderId="1" fillId="2" fontId="2" numFmtId="0" xfId="0" applyAlignment="1" applyBorder="1" applyFont="1">
      <alignment horizontal="left" shrinkToFit="0" vertical="bottom" wrapText="1"/>
    </xf>
    <xf borderId="0" fillId="0" fontId="4" numFmtId="0" xfId="0" applyAlignment="1" applyFont="1">
      <alignment horizontal="left" shrinkToFit="0" vertical="top" wrapText="1"/>
    </xf>
    <xf borderId="0" fillId="0" fontId="4" numFmtId="164" xfId="0" applyAlignment="1" applyFont="1" applyNumberFormat="1">
      <alignment horizontal="right" shrinkToFit="0" vertical="top" wrapText="1"/>
    </xf>
    <xf borderId="0" fillId="0" fontId="5" numFmtId="165" xfId="0" applyAlignment="1" applyFont="1" applyNumberFormat="1">
      <alignment horizontal="center" shrinkToFit="0" vertical="center" wrapText="1"/>
    </xf>
    <xf borderId="0" fillId="0" fontId="4" numFmtId="166" xfId="0" applyAlignment="1" applyFont="1" applyNumberFormat="1">
      <alignment horizontal="right" shrinkToFit="0" vertical="top" wrapText="1"/>
    </xf>
    <xf borderId="1" fillId="2" fontId="1" numFmtId="0" xfId="0" applyAlignment="1" applyBorder="1" applyFont="1">
      <alignment horizontal="left" shrinkToFit="0" vertical="top" wrapText="1"/>
    </xf>
    <xf borderId="0" fillId="0" fontId="1" numFmtId="166" xfId="0" applyAlignment="1" applyFont="1" applyNumberFormat="1">
      <alignment horizontal="center" shrinkToFit="0" vertical="top" wrapText="1"/>
    </xf>
    <xf borderId="0" fillId="0" fontId="6" numFmtId="0" xfId="0" applyAlignment="1" applyFont="1">
      <alignment horizontal="center" shrinkToFit="0" vertical="top" wrapText="1"/>
    </xf>
    <xf borderId="0" fillId="0" fontId="7" numFmtId="0" xfId="0" applyAlignment="1" applyFont="1">
      <alignment horizontal="left" shrinkToFit="0" vertical="top" wrapText="1"/>
    </xf>
    <xf borderId="2" fillId="3" fontId="2" numFmtId="0" xfId="0" applyAlignment="1" applyBorder="1" applyFill="1" applyFont="1">
      <alignment horizontal="left" shrinkToFit="0" vertical="top" wrapText="1"/>
    </xf>
    <xf borderId="3" fillId="0" fontId="8" numFmtId="0" xfId="0" applyAlignment="1" applyBorder="1" applyFont="1">
      <alignment horizontal="left" vertical="top"/>
    </xf>
    <xf borderId="4" fillId="0" fontId="8" numFmtId="0" xfId="0" applyAlignment="1" applyBorder="1" applyFont="1">
      <alignment horizontal="left" vertical="top"/>
    </xf>
    <xf borderId="2" fillId="3" fontId="7" numFmtId="0" xfId="0" applyAlignment="1" applyBorder="1" applyFont="1">
      <alignment horizontal="left" shrinkToFit="0" vertical="top" wrapText="1"/>
    </xf>
    <xf borderId="1" fillId="3" fontId="2" numFmtId="0" xfId="0" applyAlignment="1" applyBorder="1" applyFont="1">
      <alignment horizontal="left" vertical="top"/>
    </xf>
    <xf borderId="1" fillId="3" fontId="9" numFmtId="0" xfId="0" applyAlignment="1" applyBorder="1" applyFont="1">
      <alignment horizontal="left" shrinkToFit="0" vertical="top" wrapText="1"/>
    </xf>
    <xf borderId="2" fillId="3" fontId="9" numFmtId="0" xfId="0" applyAlignment="1" applyBorder="1" applyFont="1">
      <alignment horizontal="left" shrinkToFit="0" vertical="top" wrapText="1"/>
    </xf>
    <xf borderId="2" fillId="3" fontId="6" numFmtId="0" xfId="0" applyAlignment="1" applyBorder="1" applyFont="1">
      <alignment horizontal="left" shrinkToFit="0" vertical="top" wrapText="1"/>
    </xf>
    <xf borderId="1" fillId="3" fontId="2" numFmtId="0" xfId="0" applyAlignment="1" applyBorder="1" applyFont="1">
      <alignment horizontal="left" shrinkToFit="0" vertical="top" wrapText="1"/>
    </xf>
    <xf borderId="2" fillId="3" fontId="1" numFmtId="0" xfId="0" applyAlignment="1" applyBorder="1" applyFont="1">
      <alignment horizontal="left" shrinkToFit="0" vertical="top" wrapText="1"/>
    </xf>
    <xf borderId="1" fillId="3" fontId="1" numFmtId="0" xfId="0" applyAlignment="1" applyBorder="1" applyFont="1">
      <alignment horizontal="left" shrinkToFit="0" vertical="top" wrapText="1"/>
    </xf>
    <xf borderId="5" fillId="3" fontId="2" numFmtId="0" xfId="0" applyAlignment="1" applyBorder="1" applyFont="1">
      <alignment horizontal="left" shrinkToFit="0" vertical="bottom" wrapText="1"/>
    </xf>
    <xf borderId="1" fillId="3" fontId="2" numFmtId="0" xfId="0" applyAlignment="1" applyBorder="1" applyFont="1">
      <alignment horizontal="left" shrinkToFit="0" vertical="bottom" wrapText="1"/>
    </xf>
    <xf borderId="6" fillId="3" fontId="10" numFmtId="0" xfId="0" applyAlignment="1" applyBorder="1" applyFont="1">
      <alignment horizontal="center" shrinkToFit="0" vertical="center" wrapText="1"/>
    </xf>
    <xf borderId="1" fillId="3" fontId="2" numFmtId="0" xfId="0" applyAlignment="1" applyBorder="1" applyFont="1">
      <alignment horizontal="left" shrinkToFit="0" vertical="center" wrapText="1"/>
    </xf>
    <xf borderId="2" fillId="3" fontId="10" numFmtId="0" xfId="0" applyAlignment="1" applyBorder="1" applyFont="1">
      <alignment horizontal="center" shrinkToFit="0" vertical="center" wrapText="1"/>
    </xf>
    <xf borderId="1" fillId="3" fontId="10" numFmtId="0" xfId="0" applyAlignment="1" applyBorder="1" applyFont="1">
      <alignment horizontal="left" shrinkToFit="0" vertical="center" wrapText="1"/>
    </xf>
    <xf borderId="2" fillId="3" fontId="6" numFmtId="0" xfId="0" applyAlignment="1" applyBorder="1" applyFont="1">
      <alignment horizontal="center" shrinkToFit="0" vertical="top" wrapText="1"/>
    </xf>
    <xf borderId="1" fillId="3" fontId="11" numFmtId="0" xfId="0" applyAlignment="1" applyBorder="1" applyFont="1">
      <alignment horizontal="left" shrinkToFit="0" vertical="top" wrapText="1"/>
    </xf>
    <xf borderId="1" fillId="3" fontId="7" numFmtId="0" xfId="0" applyAlignment="1" applyBorder="1" applyFont="1">
      <alignment horizontal="left" shrinkToFit="0" vertical="top" wrapText="1"/>
    </xf>
    <xf borderId="1" fillId="3" fontId="6" numFmtId="0" xfId="0" applyAlignment="1" applyBorder="1" applyFont="1">
      <alignment horizontal="left" shrinkToFit="0" vertical="top" wrapText="1"/>
    </xf>
    <xf borderId="1" fillId="3" fontId="10" numFmtId="0" xfId="0" applyAlignment="1" applyBorder="1" applyFont="1">
      <alignment horizontal="center" shrinkToFit="0" vertical="center" wrapText="1"/>
    </xf>
    <xf borderId="0" fillId="0" fontId="12" numFmtId="0" xfId="0" applyAlignment="1" applyFont="1">
      <alignment horizontal="left" vertical="top"/>
    </xf>
    <xf borderId="0" fillId="0" fontId="13" numFmtId="0" xfId="0" applyAlignment="1" applyFont="1">
      <alignment horizontal="left" readingOrder="0" shrinkToFit="0" vertical="top" wrapText="1"/>
    </xf>
    <xf borderId="0" fillId="0" fontId="13" numFmtId="0" xfId="0" applyAlignment="1" applyFont="1">
      <alignment horizontal="right" shrinkToFit="0" vertical="top" wrapText="1"/>
    </xf>
    <xf borderId="1" fillId="4" fontId="14" numFmtId="0" xfId="0" applyAlignment="1" applyBorder="1" applyFill="1" applyFont="1">
      <alignment horizontal="left" shrinkToFit="0" vertical="top" wrapText="1"/>
    </xf>
    <xf borderId="1" fillId="4" fontId="14" numFmtId="0" xfId="0" applyAlignment="1" applyBorder="1" applyFont="1">
      <alignment horizontal="left" shrinkToFit="0" vertical="bottom" wrapText="1"/>
    </xf>
    <xf borderId="0" fillId="0" fontId="12" numFmtId="0" xfId="0" applyAlignment="1" applyFont="1">
      <alignment horizontal="left" shrinkToFit="0" vertical="top" wrapText="1"/>
    </xf>
    <xf borderId="0" fillId="0" fontId="14" numFmtId="0" xfId="0" applyAlignment="1" applyFont="1">
      <alignment horizontal="left" shrinkToFit="0" vertical="bottom" wrapText="1"/>
    </xf>
    <xf borderId="1" fillId="5" fontId="15" numFmtId="0" xfId="0" applyAlignment="1" applyBorder="1" applyFill="1" applyFont="1">
      <alignment horizontal="left" readingOrder="0" shrinkToFit="0" vertical="top" wrapText="1"/>
    </xf>
    <xf borderId="1" fillId="5" fontId="14" numFmtId="0" xfId="0" applyAlignment="1" applyBorder="1" applyFont="1">
      <alignment horizontal="left" shrinkToFit="0" vertical="bottom" wrapText="1"/>
    </xf>
    <xf borderId="0" fillId="0" fontId="12" numFmtId="165" xfId="0" applyAlignment="1" applyFont="1" applyNumberFormat="1">
      <alignment horizontal="center" shrinkToFit="0" vertical="center" wrapText="1"/>
    </xf>
    <xf borderId="0" fillId="0" fontId="12" numFmtId="0" xfId="0" applyAlignment="1" applyFont="1">
      <alignment horizontal="left" readingOrder="0" shrinkToFit="0" vertical="top" wrapText="1"/>
    </xf>
    <xf borderId="0" fillId="0" fontId="12" numFmtId="166" xfId="0" applyAlignment="1" applyFont="1" applyNumberFormat="1">
      <alignment horizontal="center" shrinkToFit="0" vertical="center" wrapText="1"/>
    </xf>
    <xf borderId="7" fillId="4" fontId="12" numFmtId="166" xfId="0" applyAlignment="1" applyBorder="1" applyFont="1" applyNumberFormat="1">
      <alignment horizontal="center" readingOrder="0" shrinkToFit="0" vertical="center" wrapText="1"/>
    </xf>
    <xf borderId="8" fillId="0" fontId="8" numFmtId="0" xfId="0" applyAlignment="1" applyBorder="1" applyFont="1">
      <alignment horizontal="left" vertical="top"/>
    </xf>
    <xf borderId="0" fillId="0" fontId="12" numFmtId="0" xfId="0" applyAlignment="1" applyFont="1">
      <alignment horizontal="left" shrinkToFit="0" vertical="center" wrapText="1"/>
    </xf>
    <xf borderId="0" fillId="0" fontId="12" numFmtId="0" xfId="0" applyAlignment="1" applyFont="1">
      <alignment horizontal="left" readingOrder="0" shrinkToFit="0" vertical="center" wrapText="1"/>
    </xf>
    <xf borderId="0" fillId="0" fontId="12" numFmtId="166" xfId="0" applyAlignment="1" applyFont="1" applyNumberFormat="1">
      <alignment horizontal="center" readingOrder="0" shrinkToFit="0" vertical="center" wrapText="1"/>
    </xf>
    <xf borderId="0" fillId="0" fontId="13" numFmtId="166" xfId="0" applyAlignment="1" applyFont="1" applyNumberFormat="1">
      <alignment horizontal="center" readingOrder="0" shrinkToFit="0" vertical="center" wrapText="1"/>
    </xf>
    <xf borderId="2" fillId="5" fontId="15" numFmtId="0" xfId="0" applyAlignment="1" applyBorder="1" applyFont="1">
      <alignment horizontal="left" shrinkToFit="0" vertical="top" wrapText="1"/>
    </xf>
    <xf borderId="0" fillId="0" fontId="12" numFmtId="165" xfId="0" applyAlignment="1" applyFont="1" applyNumberFormat="1">
      <alignment horizontal="center" readingOrder="0" shrinkToFit="0" vertical="center" wrapText="1"/>
    </xf>
    <xf borderId="0" fillId="0" fontId="13" numFmtId="165" xfId="0" applyAlignment="1" applyFont="1" applyNumberFormat="1">
      <alignment horizontal="center" shrinkToFit="0" vertical="center" wrapText="1"/>
    </xf>
    <xf borderId="0" fillId="0" fontId="13" numFmtId="0" xfId="0" applyAlignment="1" applyFont="1">
      <alignment horizontal="left" shrinkToFit="0" vertical="top" wrapText="1"/>
    </xf>
    <xf borderId="0" fillId="0" fontId="13" numFmtId="166" xfId="0" applyAlignment="1" applyFont="1" applyNumberFormat="1">
      <alignment horizontal="center" readingOrder="0" shrinkToFit="0" vertical="top" wrapText="1"/>
    </xf>
    <xf borderId="0" fillId="0" fontId="16" numFmtId="0" xfId="0" applyAlignment="1" applyFont="1">
      <alignment horizontal="center" readingOrder="0" shrinkToFit="0" vertical="top" wrapText="1"/>
    </xf>
    <xf borderId="0" fillId="0" fontId="17" numFmtId="0" xfId="0" applyAlignment="1" applyFont="1">
      <alignment horizontal="left" shrinkToFit="0" vertical="top" wrapText="1"/>
    </xf>
    <xf borderId="0" fillId="0" fontId="18" numFmtId="0" xfId="0" applyAlignment="1" applyFont="1">
      <alignment horizontal="center" shrinkToFit="0" vertical="top" wrapText="1"/>
    </xf>
    <xf borderId="2" fillId="3" fontId="12" numFmtId="0" xfId="0" applyAlignment="1" applyBorder="1" applyFont="1">
      <alignment horizontal="center" readingOrder="0" shrinkToFit="0" vertical="top" wrapText="1"/>
    </xf>
    <xf borderId="0" fillId="3" fontId="12" numFmtId="0" xfId="0" applyAlignment="1" applyFont="1">
      <alignment horizontal="center" shrinkToFit="0" vertical="top" wrapText="1"/>
    </xf>
    <xf borderId="9" fillId="5" fontId="13" numFmtId="0" xfId="0" applyAlignment="1" applyBorder="1" applyFont="1">
      <alignment horizontal="center" shrinkToFit="0" vertical="center" wrapText="1"/>
    </xf>
    <xf borderId="10" fillId="0" fontId="8" numFmtId="0" xfId="0" applyAlignment="1" applyBorder="1" applyFont="1">
      <alignment horizontal="left" vertical="top"/>
    </xf>
    <xf borderId="11" fillId="0" fontId="12" numFmtId="0" xfId="0" applyAlignment="1" applyBorder="1" applyFont="1">
      <alignment horizontal="center" shrinkToFit="0" vertical="top" wrapText="1"/>
    </xf>
    <xf borderId="12" fillId="0" fontId="12" numFmtId="0" xfId="0" applyAlignment="1" applyBorder="1" applyFont="1">
      <alignment horizontal="center" shrinkToFit="0" vertical="top" wrapText="1"/>
    </xf>
    <xf borderId="13" fillId="3" fontId="12" numFmtId="0" xfId="0" applyAlignment="1" applyBorder="1" applyFont="1">
      <alignment horizontal="center" shrinkToFit="0" vertical="top" wrapText="1"/>
    </xf>
    <xf borderId="12" fillId="3" fontId="12" numFmtId="0" xfId="0" applyAlignment="1" applyBorder="1" applyFont="1">
      <alignment horizontal="center" shrinkToFit="0" vertical="top" wrapText="1"/>
    </xf>
    <xf borderId="12" fillId="3" fontId="13" numFmtId="0" xfId="0" applyAlignment="1" applyBorder="1" applyFont="1">
      <alignment horizontal="center" readingOrder="0" shrinkToFit="0" vertical="top" wrapText="1"/>
    </xf>
    <xf borderId="12" fillId="3" fontId="12" numFmtId="0" xfId="0" applyAlignment="1" applyBorder="1" applyFont="1">
      <alignment horizontal="center" readingOrder="0" shrinkToFit="0" vertical="top" wrapText="1"/>
    </xf>
    <xf borderId="0" fillId="0" fontId="13" numFmtId="0" xfId="0" applyAlignment="1" applyFont="1">
      <alignment horizontal="center" shrinkToFit="0" vertical="top" wrapText="1"/>
    </xf>
    <xf borderId="3" fillId="3" fontId="14" numFmtId="0" xfId="0" applyAlignment="1" applyBorder="1" applyFont="1">
      <alignment horizontal="left" shrinkToFit="0" vertical="top" wrapText="1"/>
    </xf>
    <xf borderId="4" fillId="3" fontId="14" numFmtId="0" xfId="0" applyAlignment="1" applyBorder="1" applyFont="1">
      <alignment horizontal="left" shrinkToFit="0" vertical="top" wrapText="1"/>
    </xf>
    <xf borderId="2" fillId="3" fontId="14" numFmtId="0" xfId="0" applyAlignment="1" applyBorder="1" applyFont="1">
      <alignment horizontal="left" shrinkToFit="0" vertical="top" wrapText="1"/>
    </xf>
    <xf borderId="2" fillId="3" fontId="13" numFmtId="0" xfId="0" applyAlignment="1" applyBorder="1" applyFont="1">
      <alignment horizontal="left" shrinkToFit="0" vertical="top" wrapText="1"/>
    </xf>
    <xf borderId="1" fillId="3" fontId="14" numFmtId="0" xfId="0" applyAlignment="1" applyBorder="1" applyFont="1">
      <alignment horizontal="left" vertical="top"/>
    </xf>
    <xf borderId="1" fillId="3" fontId="12" numFmtId="0" xfId="0" applyAlignment="1" applyBorder="1" applyFont="1">
      <alignment horizontal="left" shrinkToFit="0" vertical="top" wrapText="1"/>
    </xf>
    <xf borderId="2" fillId="3" fontId="12" numFmtId="0" xfId="0" applyAlignment="1" applyBorder="1" applyFont="1">
      <alignment horizontal="left" shrinkToFit="0" vertical="top" wrapText="1"/>
    </xf>
    <xf borderId="2" fillId="3" fontId="14" numFmtId="0" xfId="0" applyAlignment="1" applyBorder="1" applyFont="1">
      <alignment horizontal="left" readingOrder="0" shrinkToFit="0" vertical="top" wrapText="1"/>
    </xf>
    <xf borderId="1" fillId="3" fontId="14" numFmtId="0" xfId="0" applyAlignment="1" applyBorder="1" applyFont="1">
      <alignment horizontal="left" shrinkToFit="0" vertical="top" wrapText="1"/>
    </xf>
    <xf borderId="2" fillId="3" fontId="13" numFmtId="0" xfId="0" applyAlignment="1" applyBorder="1" applyFont="1">
      <alignment horizontal="left" readingOrder="0" shrinkToFit="0" vertical="top" wrapText="1"/>
    </xf>
    <xf borderId="7" fillId="3" fontId="13" numFmtId="0" xfId="0" applyAlignment="1" applyBorder="1" applyFont="1">
      <alignment horizontal="left" readingOrder="0" shrinkToFit="0" vertical="top" wrapText="1"/>
    </xf>
    <xf borderId="7" fillId="3" fontId="13" numFmtId="0" xfId="0" applyAlignment="1" applyBorder="1" applyFont="1">
      <alignment horizontal="left" shrinkToFit="0" vertical="top" wrapText="1"/>
    </xf>
    <xf borderId="1" fillId="3" fontId="13" numFmtId="0" xfId="0" applyAlignment="1" applyBorder="1" applyFont="1">
      <alignment horizontal="left" shrinkToFit="0" vertical="top" wrapText="1"/>
    </xf>
    <xf borderId="0" fillId="3" fontId="14" numFmtId="0" xfId="0" applyAlignment="1" applyFont="1">
      <alignment horizontal="left" shrinkToFit="0" vertical="bottom" wrapText="1"/>
    </xf>
    <xf borderId="4" fillId="3" fontId="14" numFmtId="0" xfId="0" applyAlignment="1" applyBorder="1" applyFont="1">
      <alignment horizontal="left" vertical="top"/>
    </xf>
    <xf borderId="8" fillId="3" fontId="7" numFmtId="0" xfId="0" applyAlignment="1" applyBorder="1" applyFont="1">
      <alignment horizontal="center" readingOrder="0" shrinkToFit="0" vertical="center" wrapText="1"/>
    </xf>
    <xf borderId="14" fillId="3" fontId="7" numFmtId="0" xfId="0" applyAlignment="1" applyBorder="1" applyFont="1">
      <alignment horizontal="center" shrinkToFit="0" vertical="center" wrapText="1"/>
    </xf>
    <xf borderId="15" fillId="0" fontId="8" numFmtId="0" xfId="0" applyAlignment="1" applyBorder="1" applyFont="1">
      <alignment horizontal="left" vertical="top"/>
    </xf>
    <xf borderId="1" fillId="3" fontId="19" numFmtId="0" xfId="0" applyAlignment="1" applyBorder="1" applyFont="1">
      <alignment horizontal="left" shrinkToFit="0" vertical="center" wrapText="1"/>
    </xf>
    <xf borderId="1" fillId="3" fontId="20" numFmtId="0" xfId="0" applyAlignment="1" applyBorder="1" applyFont="1">
      <alignment horizontal="left" vertical="top"/>
    </xf>
    <xf borderId="1" fillId="3" fontId="6" numFmtId="0" xfId="0" applyAlignment="1" applyBorder="1" applyFont="1">
      <alignment horizontal="right" shrinkToFit="0" vertical="top" wrapText="1"/>
    </xf>
    <xf borderId="1" fillId="3" fontId="11" numFmtId="166" xfId="0" applyAlignment="1" applyBorder="1" applyFont="1" applyNumberFormat="1">
      <alignment horizontal="left" shrinkToFit="0" vertical="top" wrapText="1"/>
    </xf>
    <xf borderId="16" fillId="0" fontId="1" numFmtId="0" xfId="0" applyAlignment="1" applyBorder="1" applyFont="1">
      <alignment horizontal="left" shrinkToFit="0" vertical="top" wrapText="1"/>
    </xf>
    <xf borderId="16" fillId="0" fontId="8" numFmtId="0" xfId="0" applyAlignment="1" applyBorder="1" applyFont="1">
      <alignment horizontal="left" vertical="top"/>
    </xf>
    <xf borderId="1" fillId="2" fontId="4" numFmtId="166" xfId="0" applyAlignment="1" applyBorder="1" applyFont="1" applyNumberFormat="1">
      <alignment horizontal="right" shrinkToFit="0" vertical="top" wrapText="1"/>
    </xf>
    <xf borderId="1" fillId="2" fontId="5" numFmtId="166" xfId="0" applyAlignment="1" applyBorder="1" applyFont="1" applyNumberFormat="1">
      <alignment horizontal="center" shrinkToFit="0" vertical="center" wrapText="1"/>
    </xf>
    <xf borderId="0" fillId="0" fontId="1" numFmtId="166" xfId="0" applyAlignment="1" applyFont="1" applyNumberFormat="1">
      <alignment horizontal="center" shrinkToFit="0" vertical="center" wrapText="1"/>
    </xf>
    <xf borderId="0" fillId="0" fontId="5" numFmtId="166" xfId="0" applyAlignment="1" applyFont="1" applyNumberFormat="1">
      <alignment horizontal="center" shrinkToFit="0" vertical="center" wrapText="1"/>
    </xf>
    <xf borderId="0" fillId="0" fontId="4" numFmtId="166" xfId="0" applyAlignment="1" applyFont="1" applyNumberFormat="1">
      <alignment horizontal="center" shrinkToFit="0" vertical="center" wrapText="1"/>
    </xf>
    <xf borderId="2" fillId="2" fontId="3" numFmtId="0" xfId="0" applyAlignment="1" applyBorder="1" applyFont="1">
      <alignment horizontal="left" shrinkToFit="0" vertical="top" wrapText="1"/>
    </xf>
    <xf borderId="0" fillId="0" fontId="21" numFmtId="0" xfId="0" applyAlignment="1" applyFont="1">
      <alignment horizontal="left" shrinkToFit="0" vertical="center" wrapText="1"/>
    </xf>
    <xf borderId="0" fillId="0" fontId="1" numFmtId="165" xfId="0" applyAlignment="1" applyFont="1" applyNumberFormat="1">
      <alignment horizontal="center" shrinkToFit="0" vertical="center" wrapText="1"/>
    </xf>
    <xf borderId="0" fillId="0" fontId="4" numFmtId="165" xfId="0" applyAlignment="1" applyFont="1" applyNumberFormat="1">
      <alignment horizontal="center" shrinkToFit="0" vertical="center" wrapText="1"/>
    </xf>
    <xf borderId="1" fillId="2" fontId="1" numFmtId="166" xfId="0" applyAlignment="1" applyBorder="1" applyFont="1" applyNumberFormat="1">
      <alignment horizontal="center" shrinkToFit="0" vertical="top" wrapText="1"/>
    </xf>
    <xf borderId="2" fillId="6" fontId="1" numFmtId="0" xfId="0" applyAlignment="1" applyBorder="1" applyFill="1" applyFont="1">
      <alignment horizontal="left" shrinkToFit="0" vertical="top" wrapText="1"/>
    </xf>
    <xf borderId="11" fillId="2" fontId="22" numFmtId="0" xfId="0" applyAlignment="1" applyBorder="1" applyFont="1">
      <alignment horizontal="center" shrinkToFit="0" vertical="top" wrapText="1"/>
    </xf>
    <xf borderId="17" fillId="0" fontId="8" numFmtId="0" xfId="0" applyAlignment="1" applyBorder="1" applyFont="1">
      <alignment horizontal="left" vertical="top"/>
    </xf>
    <xf borderId="12" fillId="0" fontId="23" numFmtId="0" xfId="0" applyAlignment="1" applyBorder="1" applyFont="1">
      <alignment horizontal="left" shrinkToFit="0" vertical="top" wrapText="1"/>
    </xf>
    <xf borderId="12" fillId="0" fontId="11" numFmtId="167" xfId="0" applyAlignment="1" applyBorder="1" applyFont="1" applyNumberFormat="1">
      <alignment horizontal="center" shrinkToFit="0" vertical="top" wrapText="1"/>
    </xf>
    <xf borderId="12" fillId="0" fontId="11" numFmtId="0" xfId="0" applyAlignment="1" applyBorder="1" applyFont="1">
      <alignment horizontal="center" shrinkToFit="0" vertical="top" wrapText="1"/>
    </xf>
    <xf borderId="0" fillId="0" fontId="23" numFmtId="0" xfId="0" applyAlignment="1" applyFont="1">
      <alignment horizontal="left" shrinkToFit="0" vertical="top" wrapText="1"/>
    </xf>
    <xf borderId="0" fillId="0" fontId="11" numFmtId="0" xfId="0" applyAlignment="1" applyFont="1">
      <alignment horizontal="center" shrinkToFit="0" vertical="top" wrapText="1"/>
    </xf>
    <xf borderId="2" fillId="3" fontId="9" numFmtId="0" xfId="0" applyAlignment="1" applyBorder="1" applyFont="1">
      <alignment horizontal="center" shrinkToFit="0" vertical="top" wrapText="1"/>
    </xf>
    <xf borderId="9" fillId="2" fontId="6" numFmtId="0" xfId="0" applyAlignment="1" applyBorder="1" applyFont="1">
      <alignment horizontal="center" shrinkToFit="0" vertical="center" wrapText="1"/>
    </xf>
    <xf borderId="11" fillId="0" fontId="4" numFmtId="0" xfId="0" applyAlignment="1" applyBorder="1" applyFont="1">
      <alignment horizontal="left" shrinkToFit="0" vertical="top" wrapText="1"/>
    </xf>
    <xf borderId="12" fillId="0" fontId="4" numFmtId="0" xfId="0" applyAlignment="1" applyBorder="1" applyFont="1">
      <alignment horizontal="center" shrinkToFit="0" vertical="top" wrapText="1"/>
    </xf>
    <xf borderId="13" fillId="3" fontId="4" numFmtId="0" xfId="0" applyAlignment="1" applyBorder="1" applyFont="1">
      <alignment horizontal="left" shrinkToFit="0" vertical="top" wrapText="1"/>
    </xf>
    <xf borderId="12" fillId="3" fontId="4" numFmtId="0" xfId="0" applyAlignment="1" applyBorder="1" applyFont="1">
      <alignment horizontal="center" shrinkToFit="0" vertical="top" wrapText="1"/>
    </xf>
    <xf borderId="0" fillId="0" fontId="4" numFmtId="0" xfId="0" applyAlignment="1" applyFont="1">
      <alignment horizontal="center" shrinkToFit="0" vertical="top" wrapText="1"/>
    </xf>
    <xf borderId="0" fillId="0" fontId="24" numFmtId="0" xfId="0" applyAlignment="1" applyFont="1">
      <alignment horizontal="left" shrinkToFit="0" vertical="top" wrapText="1"/>
    </xf>
    <xf borderId="0" fillId="0" fontId="1" numFmtId="0" xfId="0" applyAlignment="1" applyFont="1">
      <alignment horizontal="left" shrinkToFit="0" vertical="center" wrapText="1"/>
    </xf>
    <xf borderId="0" fillId="0" fontId="25" numFmtId="0" xfId="0" applyAlignment="1" applyFont="1">
      <alignment horizontal="left" vertical="top"/>
    </xf>
    <xf borderId="0" fillId="0" fontId="3" numFmtId="0" xfId="0" applyAlignment="1" applyFont="1">
      <alignment horizontal="left" shrinkToFit="0" vertical="top" wrapText="1"/>
    </xf>
    <xf borderId="0" fillId="0" fontId="4" numFmtId="0" xfId="0" applyAlignment="1" applyFont="1">
      <alignment horizontal="left" shrinkToFit="0" vertical="center" wrapText="1"/>
    </xf>
    <xf borderId="0" fillId="0" fontId="4" numFmtId="165" xfId="0" applyAlignment="1" applyFont="1" applyNumberFormat="1">
      <alignment horizontal="center" shrinkToFit="0" vertical="top" wrapText="1"/>
    </xf>
    <xf borderId="1" fillId="2" fontId="4" numFmtId="0" xfId="0" applyAlignment="1" applyBorder="1" applyFont="1">
      <alignment horizontal="left" shrinkToFit="0" vertical="top" wrapText="1"/>
    </xf>
    <xf borderId="1" fillId="2" fontId="5" numFmtId="165" xfId="0" applyAlignment="1" applyBorder="1" applyFont="1" applyNumberFormat="1">
      <alignment horizontal="center" shrinkToFit="0" vertical="center" wrapText="1"/>
    </xf>
    <xf borderId="0" fillId="0" fontId="5" numFmtId="0" xfId="0" applyAlignment="1" applyFont="1">
      <alignment horizontal="left" shrinkToFit="0" vertical="center" wrapText="1"/>
    </xf>
    <xf borderId="1" fillId="2" fontId="1" numFmtId="166" xfId="0" applyAlignment="1" applyBorder="1" applyFont="1" applyNumberFormat="1">
      <alignment horizontal="left" shrinkToFit="0" vertical="top" wrapText="1"/>
    </xf>
    <xf borderId="0" fillId="0" fontId="1" numFmtId="166" xfId="0" applyAlignment="1" applyFont="1" applyNumberFormat="1">
      <alignment horizontal="left" shrinkToFit="0" vertical="top" wrapText="1"/>
    </xf>
    <xf borderId="1" fillId="6" fontId="1" numFmtId="0" xfId="0" applyAlignment="1" applyBorder="1" applyFont="1">
      <alignment horizontal="left" shrinkToFit="0" vertical="top" wrapText="1"/>
    </xf>
    <xf borderId="0" fillId="0" fontId="6" numFmtId="0" xfId="0" applyAlignment="1" applyFont="1">
      <alignment horizontal="left" shrinkToFit="0" vertical="top" wrapText="1"/>
    </xf>
    <xf borderId="18" fillId="3" fontId="9" numFmtId="0" xfId="0" applyAlignment="1" applyBorder="1" applyFont="1">
      <alignment horizontal="center" shrinkToFit="0" vertical="top" wrapText="1"/>
    </xf>
    <xf borderId="19" fillId="0" fontId="8" numFmtId="0" xfId="0" applyAlignment="1" applyBorder="1" applyFont="1">
      <alignment horizontal="left" vertical="top"/>
    </xf>
    <xf borderId="14" fillId="0" fontId="8" numFmtId="0" xfId="0" applyAlignment="1" applyBorder="1" applyFont="1">
      <alignment horizontal="left" vertical="top"/>
    </xf>
    <xf borderId="1" fillId="3" fontId="9" numFmtId="0" xfId="0" applyAlignment="1" applyBorder="1" applyFont="1">
      <alignment horizontal="center" shrinkToFit="0" vertical="top" wrapText="1"/>
    </xf>
    <xf borderId="0" fillId="0" fontId="6" numFmtId="0" xfId="0" applyAlignment="1" applyFont="1">
      <alignment horizontal="center" shrinkToFit="0" vertical="center" wrapText="1"/>
    </xf>
    <xf borderId="20" fillId="0" fontId="1" numFmtId="0" xfId="0" applyAlignment="1" applyBorder="1" applyFont="1">
      <alignment horizontal="right" shrinkToFit="0" vertical="top" wrapText="1"/>
    </xf>
    <xf borderId="20" fillId="0" fontId="2" numFmtId="0" xfId="0" applyAlignment="1" applyBorder="1" applyFont="1">
      <alignment horizontal="left" shrinkToFit="0" vertical="bottom" wrapText="1"/>
    </xf>
    <xf borderId="20" fillId="0" fontId="8" numFmtId="0" xfId="0" applyAlignment="1" applyBorder="1" applyFont="1">
      <alignment horizontal="left" vertical="top"/>
    </xf>
    <xf borderId="0" fillId="0" fontId="1" numFmtId="0" xfId="0" applyAlignment="1" applyFont="1">
      <alignment horizontal="right" shrinkToFit="0" vertical="top" wrapText="1"/>
    </xf>
    <xf borderId="20" fillId="0" fontId="2" numFmtId="0" xfId="0" applyAlignment="1" applyBorder="1" applyFont="1">
      <alignment horizontal="left" shrinkToFit="0" vertical="top" wrapText="1"/>
    </xf>
    <xf borderId="0" fillId="0" fontId="1" numFmtId="168" xfId="0" applyAlignment="1" applyFont="1" applyNumberFormat="1">
      <alignment horizontal="center" shrinkToFit="0" vertical="center" wrapText="1"/>
    </xf>
    <xf borderId="0" fillId="0" fontId="21" numFmtId="0" xfId="0" applyAlignment="1" applyFont="1">
      <alignment horizontal="left" shrinkToFit="0" vertical="top" wrapText="1"/>
    </xf>
    <xf borderId="20" fillId="0"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 fillId="2" fontId="1" numFmtId="167" xfId="0" applyAlignment="1" applyBorder="1" applyFont="1" applyNumberFormat="1">
      <alignment horizontal="left" shrinkToFit="0" vertical="top" wrapText="1"/>
    </xf>
    <xf borderId="0" fillId="0" fontId="5" numFmtId="166" xfId="0" applyAlignment="1" applyFont="1" applyNumberFormat="1">
      <alignment horizontal="left" shrinkToFit="0" vertical="center" wrapText="1"/>
    </xf>
    <xf borderId="0" fillId="0" fontId="4" numFmtId="0" xfId="0" applyAlignment="1" applyFont="1">
      <alignment horizontal="right" shrinkToFit="0" vertical="top" wrapText="1"/>
    </xf>
    <xf borderId="0" fillId="0" fontId="2" numFmtId="0" xfId="0" applyAlignment="1" applyFont="1">
      <alignment horizontal="left" shrinkToFit="0" vertical="center" wrapText="1"/>
    </xf>
    <xf borderId="0" fillId="0" fontId="19" numFmtId="0" xfId="0" applyAlignment="1" applyFont="1">
      <alignment horizontal="left" shrinkToFit="0" vertical="top" wrapText="1"/>
    </xf>
    <xf borderId="1" fillId="2" fontId="2" numFmtId="0" xfId="0" applyAlignment="1" applyBorder="1" applyFont="1">
      <alignment horizontal="center" shrinkToFit="0" vertical="bottom" wrapText="1"/>
    </xf>
    <xf borderId="0" fillId="0" fontId="26" numFmtId="165" xfId="0" applyAlignment="1" applyFont="1" applyNumberFormat="1">
      <alignment horizontal="center" shrinkToFit="0" vertical="center" wrapText="1"/>
    </xf>
    <xf borderId="0" fillId="0" fontId="27" numFmtId="165" xfId="0" applyAlignment="1" applyFont="1" applyNumberFormat="1">
      <alignment horizontal="center" shrinkToFit="0" vertical="center" wrapText="1"/>
    </xf>
    <xf borderId="0" fillId="0" fontId="1" numFmtId="0" xfId="0" applyAlignment="1" applyFont="1">
      <alignment horizontal="center" shrinkToFit="0" vertical="top" wrapText="1"/>
    </xf>
    <xf borderId="2" fillId="3" fontId="11" numFmtId="0" xfId="0" applyAlignment="1" applyBorder="1" applyFont="1">
      <alignment horizontal="center" shrinkToFit="0" vertical="top" wrapText="1"/>
    </xf>
    <xf borderId="0" fillId="0" fontId="5" numFmtId="165" xfId="0" applyAlignment="1" applyFont="1" applyNumberFormat="1">
      <alignment horizontal="left" shrinkToFit="0" vertical="center" wrapText="1"/>
    </xf>
    <xf borderId="0" fillId="0" fontId="2" numFmtId="0" xfId="0" applyAlignment="1" applyFont="1">
      <alignment horizontal="left" vertical="top"/>
    </xf>
    <xf borderId="1" fillId="2"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1"/>
    <col customWidth="1" min="2" max="2" width="18.29"/>
    <col customWidth="1" min="3" max="3" width="30.71"/>
    <col customWidth="1" min="4" max="26" width="10.71"/>
  </cols>
  <sheetData>
    <row r="1" ht="12.75" customHeight="1"/>
    <row r="2" ht="12.75" customHeight="1">
      <c r="A2" s="1" t="s">
        <v>0</v>
      </c>
      <c r="B2" s="1" t="s">
        <v>1</v>
      </c>
    </row>
    <row r="3" ht="12.75" customHeight="1">
      <c r="A3" s="2" t="s">
        <v>2</v>
      </c>
      <c r="B3" s="3"/>
    </row>
    <row r="4" ht="25.5" customHeight="1">
      <c r="A4" s="1" t="s">
        <v>3</v>
      </c>
      <c r="B4" s="3"/>
    </row>
    <row r="5" ht="15.0" customHeight="1">
      <c r="A5" s="4" t="s">
        <v>4</v>
      </c>
      <c r="B5" s="5"/>
      <c r="C5" s="5"/>
    </row>
    <row r="6" ht="13.5" customHeight="1">
      <c r="A6" s="6" t="s">
        <v>5</v>
      </c>
      <c r="B6" s="7"/>
      <c r="C6" s="8">
        <v>7200.0</v>
      </c>
    </row>
    <row r="7" ht="12.75" customHeight="1">
      <c r="A7" s="6" t="s">
        <v>6</v>
      </c>
      <c r="B7" s="7"/>
    </row>
    <row r="8" ht="11.25" customHeight="1">
      <c r="A8" s="6" t="s">
        <v>7</v>
      </c>
      <c r="B8" s="7"/>
    </row>
    <row r="9" ht="12.75" customHeight="1">
      <c r="A9" s="1" t="s">
        <v>8</v>
      </c>
      <c r="B9" s="9"/>
      <c r="C9" s="8">
        <v>2800.0</v>
      </c>
    </row>
    <row r="10" ht="12.75" customHeight="1">
      <c r="A10" s="1"/>
      <c r="B10" s="9"/>
      <c r="C10" s="8"/>
    </row>
    <row r="11" ht="13.5" customHeight="1">
      <c r="A11" s="1"/>
      <c r="B11" s="10" t="s">
        <v>9</v>
      </c>
      <c r="C11" s="11">
        <f>SUM(C6,C9)</f>
        <v>10000</v>
      </c>
    </row>
    <row r="12" ht="13.5" customHeight="1">
      <c r="A12" s="1" t="s">
        <v>10</v>
      </c>
    </row>
    <row r="13" ht="13.5" customHeight="1">
      <c r="A13" s="1" t="s">
        <v>11</v>
      </c>
      <c r="B13" s="1"/>
      <c r="C13" s="1"/>
    </row>
    <row r="14" ht="12.75" customHeight="1">
      <c r="A14" s="6" t="s">
        <v>12</v>
      </c>
    </row>
    <row r="15" ht="13.5" customHeight="1">
      <c r="A15" s="6" t="s">
        <v>13</v>
      </c>
    </row>
    <row r="16" ht="12.75" customHeight="1">
      <c r="A16" s="6" t="s">
        <v>14</v>
      </c>
    </row>
    <row r="17" ht="12.75" customHeight="1">
      <c r="A17" s="6" t="s">
        <v>15</v>
      </c>
    </row>
    <row r="18" ht="23.25" customHeight="1">
      <c r="A18" s="1" t="s">
        <v>16</v>
      </c>
    </row>
    <row r="19" ht="12.75" customHeight="1"/>
    <row r="20" ht="12.75" customHeight="1">
      <c r="A20" s="2"/>
    </row>
    <row r="21" ht="24.0" customHeight="1">
      <c r="A21" s="12" t="s">
        <v>17</v>
      </c>
    </row>
    <row r="22" ht="12.75" customHeight="1">
      <c r="A22" s="13"/>
    </row>
    <row r="23" ht="51.75" customHeight="1">
      <c r="A23" s="14" t="s">
        <v>18</v>
      </c>
      <c r="B23" s="15"/>
      <c r="C23" s="15"/>
      <c r="D23" s="15"/>
      <c r="E23" s="16"/>
    </row>
    <row r="24" ht="51.75" customHeight="1">
      <c r="A24" s="14" t="s">
        <v>19</v>
      </c>
      <c r="B24" s="15"/>
      <c r="C24" s="15"/>
      <c r="D24" s="15"/>
      <c r="E24" s="16"/>
    </row>
    <row r="25" ht="12.75" customHeight="1">
      <c r="A25" s="17" t="s">
        <v>20</v>
      </c>
      <c r="B25" s="15"/>
      <c r="C25" s="15"/>
      <c r="D25" s="16"/>
      <c r="E25" s="18"/>
    </row>
    <row r="26" ht="12.75" customHeight="1">
      <c r="A26" s="19" t="s">
        <v>21</v>
      </c>
      <c r="B26" s="19"/>
      <c r="C26" s="19"/>
      <c r="D26" s="19"/>
      <c r="E26" s="18"/>
    </row>
    <row r="27" ht="39.0" customHeight="1">
      <c r="A27" s="20" t="s">
        <v>22</v>
      </c>
      <c r="B27" s="15"/>
      <c r="C27" s="15"/>
      <c r="D27" s="16"/>
      <c r="E27" s="18"/>
    </row>
    <row r="28" ht="25.5" customHeight="1">
      <c r="A28" s="20" t="s">
        <v>23</v>
      </c>
      <c r="B28" s="15"/>
      <c r="C28" s="15"/>
      <c r="D28" s="16"/>
      <c r="E28" s="18"/>
    </row>
    <row r="29" ht="51.75" customHeight="1">
      <c r="A29" s="20" t="s">
        <v>24</v>
      </c>
      <c r="B29" s="15"/>
      <c r="C29" s="15"/>
      <c r="D29" s="16"/>
      <c r="E29" s="18"/>
    </row>
    <row r="30" ht="24.0" customHeight="1">
      <c r="A30" s="21" t="s">
        <v>25</v>
      </c>
      <c r="B30" s="15"/>
      <c r="C30" s="15"/>
      <c r="D30" s="15"/>
      <c r="E30" s="16"/>
    </row>
    <row r="31" ht="84.0" customHeight="1">
      <c r="A31" s="14" t="s">
        <v>26</v>
      </c>
      <c r="B31" s="15"/>
      <c r="C31" s="15"/>
      <c r="D31" s="15"/>
      <c r="E31" s="16"/>
    </row>
    <row r="32" ht="12.75" customHeight="1">
      <c r="A32" s="22"/>
      <c r="B32" s="22"/>
      <c r="C32" s="22"/>
      <c r="D32" s="22"/>
      <c r="E32" s="22"/>
    </row>
    <row r="33" ht="21.0" customHeight="1">
      <c r="A33" s="23" t="s">
        <v>27</v>
      </c>
      <c r="B33" s="15"/>
      <c r="C33" s="15"/>
      <c r="D33" s="15"/>
      <c r="E33" s="16"/>
    </row>
    <row r="34" ht="12.75" customHeight="1">
      <c r="A34" s="24"/>
      <c r="B34" s="24"/>
      <c r="C34" s="24"/>
      <c r="D34" s="24"/>
      <c r="E34" s="24"/>
    </row>
    <row r="35" ht="12.75" customHeight="1">
      <c r="A35" s="25"/>
      <c r="B35" s="26"/>
      <c r="C35" s="25"/>
      <c r="D35" s="25"/>
      <c r="E35" s="18"/>
    </row>
    <row r="36" ht="12.75" customHeight="1">
      <c r="A36" s="27" t="s">
        <v>28</v>
      </c>
      <c r="B36" s="28"/>
      <c r="C36" s="29" t="s">
        <v>29</v>
      </c>
      <c r="D36" s="16"/>
      <c r="E36" s="18"/>
    </row>
    <row r="37" ht="12.75" customHeight="1">
      <c r="A37" s="30"/>
      <c r="B37" s="28"/>
      <c r="C37" s="30"/>
      <c r="D37" s="18"/>
      <c r="E37" s="18"/>
    </row>
    <row r="38" ht="12.75" customHeight="1">
      <c r="A38" s="30"/>
      <c r="B38" s="28"/>
      <c r="C38" s="30"/>
      <c r="D38" s="18"/>
      <c r="E38" s="18"/>
    </row>
    <row r="39" ht="12.75" customHeight="1">
      <c r="A39" s="31" t="s">
        <v>30</v>
      </c>
      <c r="B39" s="15"/>
      <c r="C39" s="16"/>
      <c r="D39" s="32"/>
      <c r="E39" s="32"/>
    </row>
    <row r="40" ht="12.75" customHeight="1">
      <c r="A40" s="18"/>
      <c r="B40" s="18"/>
      <c r="C40" s="18"/>
      <c r="D40" s="18"/>
      <c r="E40" s="18"/>
    </row>
    <row r="41" ht="12.75" customHeight="1"/>
    <row r="42" ht="12.75" customHeight="1"/>
    <row r="43" ht="124.5" customHeight="1"/>
    <row r="44" ht="12.75" customHeight="1"/>
    <row r="45" ht="12.75" customHeight="1"/>
    <row r="46" ht="12.75" customHeight="1">
      <c r="D46" s="12"/>
      <c r="E46" s="12"/>
    </row>
    <row r="47" ht="12.75" customHeight="1">
      <c r="D47" s="13"/>
      <c r="E47" s="13"/>
    </row>
    <row r="48" ht="30.0" customHeight="1">
      <c r="D48" s="22"/>
      <c r="E48" s="22"/>
    </row>
    <row r="49" ht="30.0" customHeight="1">
      <c r="D49" s="22"/>
      <c r="E49" s="22"/>
    </row>
    <row r="50" ht="12.75" customHeight="1">
      <c r="D50" s="33"/>
      <c r="E50" s="18"/>
    </row>
    <row r="51" ht="12.75" customHeight="1">
      <c r="D51" s="19"/>
      <c r="E51" s="18"/>
    </row>
    <row r="52" ht="12.75" customHeight="1">
      <c r="D52" s="19"/>
      <c r="E52" s="18"/>
    </row>
    <row r="53" ht="12.75" customHeight="1">
      <c r="D53" s="19"/>
      <c r="E53" s="18"/>
    </row>
    <row r="54" ht="30.0" customHeight="1">
      <c r="D54" s="19"/>
      <c r="E54" s="18"/>
    </row>
    <row r="55" ht="12.75" customHeight="1">
      <c r="D55" s="34"/>
      <c r="E55" s="34"/>
    </row>
    <row r="56" ht="27.0" customHeight="1">
      <c r="D56" s="22"/>
      <c r="E56" s="22"/>
    </row>
    <row r="57" ht="12.75" customHeight="1">
      <c r="D57" s="22"/>
      <c r="E57" s="22"/>
    </row>
    <row r="58" ht="12.75" customHeight="1">
      <c r="D58" s="24"/>
      <c r="E58" s="24"/>
    </row>
    <row r="59" ht="12.75" customHeight="1">
      <c r="D59" s="24"/>
      <c r="E59" s="24"/>
    </row>
    <row r="60" ht="12.75" customHeight="1">
      <c r="D60" s="25"/>
      <c r="E60" s="18"/>
    </row>
    <row r="61" ht="12.75" customHeight="1">
      <c r="D61" s="35"/>
      <c r="E61" s="18"/>
    </row>
    <row r="62" ht="12.75" customHeight="1">
      <c r="D62" s="18"/>
      <c r="E62" s="18"/>
    </row>
    <row r="63" ht="12.75" customHeight="1">
      <c r="D63" s="18"/>
      <c r="E63" s="18"/>
    </row>
    <row r="64" ht="12.75" customHeight="1">
      <c r="D64" s="32"/>
      <c r="E64" s="32"/>
    </row>
    <row r="65" ht="12.75" customHeight="1">
      <c r="D65" s="18"/>
      <c r="E65" s="18"/>
    </row>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4">
    <mergeCell ref="B2:C2"/>
    <mergeCell ref="B3:C3"/>
    <mergeCell ref="B4:C4"/>
    <mergeCell ref="C6:C8"/>
    <mergeCell ref="A12:C12"/>
    <mergeCell ref="A14:C14"/>
    <mergeCell ref="A15:C15"/>
    <mergeCell ref="A16:C16"/>
    <mergeCell ref="A17:C17"/>
    <mergeCell ref="A18:C18"/>
    <mergeCell ref="A20:B20"/>
    <mergeCell ref="A21:E21"/>
    <mergeCell ref="A22:E22"/>
    <mergeCell ref="A23:E23"/>
    <mergeCell ref="A33:E33"/>
    <mergeCell ref="C36:D36"/>
    <mergeCell ref="A39:C39"/>
    <mergeCell ref="A24:E24"/>
    <mergeCell ref="A25:D25"/>
    <mergeCell ref="A27:D27"/>
    <mergeCell ref="A28:D28"/>
    <mergeCell ref="A29:D29"/>
    <mergeCell ref="A30:E30"/>
    <mergeCell ref="A31:E31"/>
  </mergeCells>
  <printOptions/>
  <pageMargins bottom="0.75" footer="0.0" header="0.0" left="0.7" right="0.7" top="2.63"/>
  <pageSetup paperSize="9" orientation="portrait"/>
  <rowBreaks count="2" manualBreakCount="2">
    <brk id="19" man="1"/>
    <brk id="41"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14"/>
    <col customWidth="1" min="2" max="2" width="26.29"/>
    <col customWidth="1" min="3" max="3" width="10.71"/>
    <col customWidth="1" min="4" max="4" width="4.14"/>
    <col customWidth="1" min="5" max="25" width="10.71"/>
  </cols>
  <sheetData>
    <row r="1" ht="12.75" customHeight="1"/>
    <row r="2" ht="12.75" customHeight="1">
      <c r="A2" s="36"/>
      <c r="B2" s="36"/>
      <c r="C2" s="36"/>
      <c r="D2" s="36"/>
    </row>
    <row r="3" ht="12.75" customHeight="1">
      <c r="A3" s="37" t="s">
        <v>31</v>
      </c>
      <c r="B3" s="38"/>
      <c r="C3" s="36"/>
      <c r="D3" s="36"/>
    </row>
    <row r="4" ht="15.0" customHeight="1">
      <c r="A4" s="39" t="s">
        <v>32</v>
      </c>
      <c r="B4" s="40"/>
      <c r="C4" s="36"/>
      <c r="D4" s="36"/>
    </row>
    <row r="5" ht="19.5" customHeight="1">
      <c r="A5" s="41" t="s">
        <v>33</v>
      </c>
      <c r="B5" s="42"/>
      <c r="C5" s="36"/>
      <c r="D5" s="36"/>
    </row>
    <row r="6" ht="19.5" customHeight="1">
      <c r="A6" s="41"/>
      <c r="B6" s="42"/>
      <c r="C6" s="36"/>
      <c r="D6" s="36"/>
    </row>
    <row r="7" ht="19.5" customHeight="1">
      <c r="A7" s="41"/>
      <c r="B7" s="42"/>
      <c r="C7" s="36"/>
      <c r="D7" s="36"/>
    </row>
    <row r="8" ht="17.25" customHeight="1">
      <c r="A8" s="43" t="s">
        <v>34</v>
      </c>
      <c r="B8" s="44"/>
      <c r="C8" s="36"/>
      <c r="D8" s="36"/>
    </row>
    <row r="9" ht="19.5" customHeight="1">
      <c r="A9" s="41" t="s">
        <v>35</v>
      </c>
      <c r="B9" s="45">
        <v>1200.0</v>
      </c>
      <c r="C9" s="36"/>
      <c r="D9" s="36"/>
    </row>
    <row r="10" ht="16.5" customHeight="1">
      <c r="A10" s="46" t="s">
        <v>36</v>
      </c>
      <c r="B10" s="47">
        <v>3000.0</v>
      </c>
      <c r="C10" s="36"/>
      <c r="D10" s="36"/>
    </row>
    <row r="11" ht="18.75" customHeight="1">
      <c r="A11" s="41" t="s">
        <v>37</v>
      </c>
      <c r="B11" s="48">
        <v>5800.0</v>
      </c>
      <c r="C11" s="36"/>
      <c r="D11" s="36"/>
    </row>
    <row r="12" ht="16.5" customHeight="1">
      <c r="A12" s="41" t="s">
        <v>38</v>
      </c>
      <c r="B12" s="49"/>
      <c r="C12" s="36"/>
      <c r="D12" s="36"/>
    </row>
    <row r="13" ht="21.0" customHeight="1">
      <c r="A13" s="50" t="s">
        <v>39</v>
      </c>
      <c r="B13" s="47">
        <v>1000.0</v>
      </c>
      <c r="C13" s="36"/>
      <c r="D13" s="36"/>
    </row>
    <row r="14" ht="21.0" customHeight="1">
      <c r="A14" s="51" t="s">
        <v>40</v>
      </c>
      <c r="B14" s="52">
        <v>6000.0</v>
      </c>
      <c r="C14" s="36"/>
      <c r="D14" s="36"/>
    </row>
    <row r="15" ht="21.0" customHeight="1">
      <c r="A15" s="50"/>
      <c r="B15" s="53">
        <v>17000.0</v>
      </c>
      <c r="C15" s="36"/>
      <c r="D15" s="36"/>
    </row>
    <row r="16" ht="21.0" customHeight="1">
      <c r="A16" s="50"/>
      <c r="B16" s="53"/>
      <c r="C16" s="36"/>
      <c r="D16" s="36"/>
    </row>
    <row r="17" ht="21.0" customHeight="1">
      <c r="A17" s="50"/>
      <c r="B17" s="36"/>
      <c r="C17" s="36"/>
      <c r="D17" s="36"/>
    </row>
    <row r="18" ht="12.75" customHeight="1">
      <c r="A18" s="54" t="s">
        <v>41</v>
      </c>
      <c r="B18" s="16"/>
      <c r="C18" s="36"/>
      <c r="D18" s="36"/>
    </row>
    <row r="19" ht="18.75" customHeight="1">
      <c r="A19" s="46" t="s">
        <v>36</v>
      </c>
      <c r="B19" s="45">
        <v>800.0</v>
      </c>
      <c r="C19" s="36"/>
      <c r="D19" s="36"/>
    </row>
    <row r="20" ht="16.5" customHeight="1">
      <c r="A20" s="46" t="s">
        <v>42</v>
      </c>
      <c r="B20" s="45"/>
      <c r="C20" s="36"/>
      <c r="D20" s="36"/>
    </row>
    <row r="21" ht="15.0" customHeight="1">
      <c r="A21" s="41" t="s">
        <v>43</v>
      </c>
      <c r="B21" s="55">
        <v>3200.0</v>
      </c>
      <c r="C21" s="36"/>
      <c r="D21" s="36"/>
    </row>
    <row r="22" ht="18.0" customHeight="1">
      <c r="A22" s="41" t="s">
        <v>44</v>
      </c>
      <c r="B22" s="56"/>
      <c r="C22" s="36"/>
      <c r="D22" s="36"/>
    </row>
    <row r="23" ht="12.75" customHeight="1">
      <c r="A23" s="57"/>
      <c r="B23" s="58">
        <v>4000.0</v>
      </c>
      <c r="C23" s="36"/>
      <c r="D23" s="36"/>
    </row>
    <row r="24" ht="12.75" customHeight="1">
      <c r="A24" s="36"/>
      <c r="B24" s="36"/>
      <c r="C24" s="36"/>
      <c r="D24" s="36"/>
    </row>
    <row r="25" ht="12.75" customHeight="1">
      <c r="A25" s="36"/>
      <c r="B25" s="36"/>
      <c r="C25" s="36"/>
      <c r="D25" s="36"/>
    </row>
    <row r="26" ht="12.75" customHeight="1">
      <c r="A26" s="36"/>
      <c r="B26" s="36"/>
      <c r="C26" s="36"/>
      <c r="D26" s="36"/>
    </row>
    <row r="27" ht="12.75" customHeight="1">
      <c r="A27" s="41"/>
      <c r="B27" s="36"/>
      <c r="C27" s="36"/>
      <c r="D27" s="36"/>
    </row>
    <row r="28" ht="12.75" customHeight="1">
      <c r="A28" s="59" t="s">
        <v>45</v>
      </c>
      <c r="C28" s="60"/>
      <c r="D28" s="36"/>
    </row>
    <row r="29" ht="12.75" customHeight="1">
      <c r="A29" s="61"/>
      <c r="B29" s="60"/>
      <c r="C29" s="60"/>
      <c r="D29" s="36"/>
    </row>
    <row r="30" ht="12.75" customHeight="1">
      <c r="A30" s="62" t="s">
        <v>46</v>
      </c>
      <c r="B30" s="16"/>
      <c r="C30" s="36"/>
      <c r="D30" s="36"/>
    </row>
    <row r="31" ht="12.75" customHeight="1">
      <c r="B31" s="63"/>
      <c r="C31" s="36"/>
      <c r="D31" s="36"/>
    </row>
    <row r="32" ht="12.75" customHeight="1">
      <c r="A32" s="63"/>
      <c r="B32" s="63"/>
      <c r="C32" s="36"/>
      <c r="D32" s="36"/>
    </row>
    <row r="33" ht="12.75" customHeight="1">
      <c r="A33" s="63"/>
      <c r="B33" s="63"/>
      <c r="C33" s="36"/>
      <c r="D33" s="36"/>
    </row>
    <row r="34" ht="12.75" customHeight="1">
      <c r="A34" s="63"/>
      <c r="B34" s="63"/>
      <c r="C34" s="36"/>
      <c r="D34" s="36"/>
    </row>
    <row r="35" ht="12.75" customHeight="1">
      <c r="A35" s="63"/>
      <c r="B35" s="63"/>
      <c r="C35" s="36"/>
      <c r="D35" s="36"/>
    </row>
    <row r="36" ht="12.75" customHeight="1">
      <c r="A36" s="64" t="s">
        <v>47</v>
      </c>
      <c r="B36" s="64" t="s">
        <v>48</v>
      </c>
      <c r="C36" s="36"/>
      <c r="D36" s="36"/>
    </row>
    <row r="37" ht="12.75" customHeight="1">
      <c r="A37" s="65"/>
      <c r="B37" s="65"/>
      <c r="C37" s="36"/>
      <c r="D37" s="36"/>
    </row>
    <row r="38" ht="12.75" customHeight="1">
      <c r="A38" s="66" t="s">
        <v>49</v>
      </c>
      <c r="B38" s="67" t="s">
        <v>50</v>
      </c>
      <c r="C38" s="36"/>
      <c r="D38" s="36"/>
    </row>
    <row r="39" ht="12.75" customHeight="1">
      <c r="A39" s="66" t="s">
        <v>51</v>
      </c>
      <c r="B39" s="67" t="s">
        <v>52</v>
      </c>
      <c r="C39" s="36"/>
      <c r="D39" s="36"/>
    </row>
    <row r="40" ht="12.75" customHeight="1">
      <c r="A40" s="66" t="s">
        <v>53</v>
      </c>
      <c r="B40" s="67" t="s">
        <v>54</v>
      </c>
      <c r="C40" s="36"/>
      <c r="D40" s="36"/>
    </row>
    <row r="41" ht="12.75" customHeight="1">
      <c r="A41" s="68" t="s">
        <v>55</v>
      </c>
      <c r="B41" s="69" t="s">
        <v>56</v>
      </c>
      <c r="C41" s="36"/>
      <c r="D41" s="36"/>
    </row>
    <row r="42" ht="12.75" customHeight="1">
      <c r="A42" s="66" t="s">
        <v>57</v>
      </c>
      <c r="B42" s="67" t="s">
        <v>58</v>
      </c>
      <c r="C42" s="36"/>
      <c r="D42" s="36"/>
    </row>
    <row r="43" ht="12.75" customHeight="1">
      <c r="A43" s="68" t="s">
        <v>59</v>
      </c>
      <c r="B43" s="69" t="s">
        <v>60</v>
      </c>
      <c r="C43" s="36"/>
      <c r="D43" s="36"/>
    </row>
    <row r="44" ht="12.75" customHeight="1">
      <c r="A44" s="66" t="s">
        <v>61</v>
      </c>
      <c r="B44" s="67" t="s">
        <v>62</v>
      </c>
      <c r="C44" s="36"/>
      <c r="D44" s="36"/>
    </row>
    <row r="45" ht="12.75" customHeight="1">
      <c r="A45" s="66" t="s">
        <v>63</v>
      </c>
      <c r="B45" s="69" t="s">
        <v>64</v>
      </c>
      <c r="C45" s="36"/>
      <c r="D45" s="36"/>
    </row>
    <row r="46" ht="12.75" customHeight="1">
      <c r="A46" s="66" t="s">
        <v>65</v>
      </c>
      <c r="B46" s="67" t="s">
        <v>66</v>
      </c>
      <c r="C46" s="36"/>
      <c r="D46" s="36"/>
    </row>
    <row r="47" ht="12.75" customHeight="1">
      <c r="A47" s="36"/>
      <c r="B47" s="36"/>
      <c r="C47" s="36"/>
      <c r="D47" s="36"/>
    </row>
    <row r="48" ht="12.75" customHeight="1">
      <c r="A48" s="57"/>
      <c r="B48" s="57"/>
      <c r="C48" s="36"/>
      <c r="D48" s="36"/>
    </row>
    <row r="49" ht="12.75" customHeight="1">
      <c r="A49" s="70" t="s">
        <v>67</v>
      </c>
      <c r="B49" s="71" t="s">
        <v>68</v>
      </c>
      <c r="C49" s="36"/>
      <c r="D49" s="36"/>
    </row>
    <row r="50" ht="12.75" customHeight="1">
      <c r="A50" s="57"/>
      <c r="B50" s="57"/>
      <c r="C50" s="36"/>
      <c r="D50" s="36"/>
    </row>
    <row r="51" ht="26.25" customHeight="1">
      <c r="A51" s="57" t="s">
        <v>69</v>
      </c>
      <c r="C51" s="36"/>
      <c r="D51" s="36"/>
    </row>
    <row r="52" ht="27.0" customHeight="1">
      <c r="A52" s="41" t="s">
        <v>70</v>
      </c>
      <c r="B52" s="41"/>
      <c r="C52" s="36"/>
      <c r="D52" s="36"/>
    </row>
    <row r="53" ht="27.0" customHeight="1">
      <c r="A53" s="41" t="s">
        <v>13</v>
      </c>
      <c r="C53" s="36"/>
      <c r="D53" s="36"/>
    </row>
    <row r="54" ht="27.0" customHeight="1">
      <c r="A54" s="41" t="s">
        <v>71</v>
      </c>
      <c r="C54" s="72"/>
      <c r="D54" s="72"/>
    </row>
    <row r="55" ht="27.0" customHeight="1">
      <c r="A55" s="41" t="s">
        <v>72</v>
      </c>
      <c r="C55" s="57"/>
      <c r="D55" s="57"/>
    </row>
    <row r="56" ht="27.0" customHeight="1">
      <c r="A56" s="57" t="s">
        <v>73</v>
      </c>
      <c r="C56" s="73"/>
      <c r="D56" s="74"/>
    </row>
    <row r="57" ht="71.25" customHeight="1">
      <c r="A57" s="75" t="s">
        <v>74</v>
      </c>
      <c r="B57" s="15"/>
      <c r="C57" s="15"/>
      <c r="D57" s="16"/>
    </row>
    <row r="58" ht="27.0" customHeight="1">
      <c r="A58" s="76" t="s">
        <v>75</v>
      </c>
      <c r="B58" s="15"/>
      <c r="C58" s="16"/>
      <c r="D58" s="77"/>
    </row>
    <row r="59" ht="19.5" customHeight="1">
      <c r="A59" s="78" t="s">
        <v>21</v>
      </c>
      <c r="B59" s="78"/>
      <c r="C59" s="78"/>
      <c r="D59" s="77"/>
    </row>
    <row r="60" ht="19.5" customHeight="1">
      <c r="A60" s="79" t="s">
        <v>76</v>
      </c>
      <c r="B60" s="15"/>
      <c r="C60" s="16"/>
      <c r="D60" s="77"/>
    </row>
    <row r="61" ht="30.0" customHeight="1">
      <c r="A61" s="79" t="s">
        <v>77</v>
      </c>
      <c r="B61" s="15"/>
      <c r="C61" s="16"/>
      <c r="D61" s="77"/>
    </row>
    <row r="62" ht="12.75" customHeight="1">
      <c r="A62" s="76" t="s">
        <v>78</v>
      </c>
      <c r="B62" s="15"/>
      <c r="C62" s="15"/>
      <c r="D62" s="16"/>
    </row>
    <row r="63" ht="87.0" customHeight="1">
      <c r="A63" s="80" t="s">
        <v>79</v>
      </c>
      <c r="B63" s="15"/>
      <c r="C63" s="15"/>
      <c r="D63" s="16"/>
    </row>
    <row r="64" ht="12.75" customHeight="1">
      <c r="A64" s="81"/>
      <c r="B64" s="81"/>
      <c r="C64" s="81"/>
      <c r="D64" s="81"/>
    </row>
    <row r="65" ht="12.75" customHeight="1">
      <c r="A65" s="82" t="s">
        <v>80</v>
      </c>
      <c r="B65" s="15"/>
      <c r="C65" s="15"/>
      <c r="D65" s="16"/>
    </row>
    <row r="66" ht="12.75" customHeight="1">
      <c r="A66" s="83" t="s">
        <v>81</v>
      </c>
      <c r="B66" s="84"/>
      <c r="C66" s="84"/>
      <c r="D66" s="85"/>
    </row>
    <row r="67" ht="12.75" customHeight="1">
      <c r="A67" s="86"/>
      <c r="B67" s="86"/>
      <c r="C67" s="86"/>
      <c r="D67" s="87"/>
    </row>
    <row r="68" ht="19.5" customHeight="1">
      <c r="A68" s="88" t="s">
        <v>28</v>
      </c>
      <c r="B68" s="89" t="s">
        <v>82</v>
      </c>
      <c r="C68" s="90"/>
      <c r="D68" s="77"/>
    </row>
    <row r="69" ht="12.75" customHeight="1">
      <c r="A69" s="91"/>
      <c r="B69" s="91"/>
      <c r="C69" s="92"/>
      <c r="D69" s="92"/>
    </row>
    <row r="70" ht="12.75" customHeight="1">
      <c r="A70" s="91"/>
      <c r="B70" s="91"/>
      <c r="C70" s="92"/>
      <c r="D70" s="92"/>
    </row>
    <row r="71" ht="12.75" customHeight="1">
      <c r="A71" s="93"/>
      <c r="B71" s="94"/>
      <c r="C71" s="32"/>
      <c r="D71" s="32"/>
    </row>
    <row r="72" ht="12.75" customHeight="1">
      <c r="A72" s="18"/>
      <c r="B72" s="18"/>
      <c r="C72" s="18"/>
      <c r="D72" s="18"/>
    </row>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19">
    <mergeCell ref="B11:B12"/>
    <mergeCell ref="A18:B18"/>
    <mergeCell ref="A28:B28"/>
    <mergeCell ref="A30:B30"/>
    <mergeCell ref="A36:A37"/>
    <mergeCell ref="B36:B37"/>
    <mergeCell ref="A51:B51"/>
    <mergeCell ref="A61:C61"/>
    <mergeCell ref="A62:D62"/>
    <mergeCell ref="A63:D63"/>
    <mergeCell ref="A65:D65"/>
    <mergeCell ref="B68:C68"/>
    <mergeCell ref="A53:B53"/>
    <mergeCell ref="A54:B54"/>
    <mergeCell ref="A55:B55"/>
    <mergeCell ref="A56:B56"/>
    <mergeCell ref="A57:D57"/>
    <mergeCell ref="A58:C58"/>
    <mergeCell ref="A60:C60"/>
  </mergeCells>
  <printOptions/>
  <pageMargins bottom="0.75" footer="0.0" header="0.0" left="0.7" right="0.7" top="2.07"/>
  <pageSetup orientation="portrait"/>
  <rowBreaks count="1" manualBreakCount="1">
    <brk id="53"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29"/>
    <col customWidth="1" min="2" max="2" width="13.29"/>
    <col customWidth="1" min="3" max="3" width="12.71"/>
    <col customWidth="1" min="4" max="26" width="10.71"/>
  </cols>
  <sheetData>
    <row r="1" ht="12.75" customHeight="1"/>
    <row r="2" ht="12.75" customHeight="1">
      <c r="A2" s="95" t="s">
        <v>83</v>
      </c>
      <c r="B2" s="95" t="s">
        <v>84</v>
      </c>
      <c r="C2" s="96"/>
    </row>
    <row r="3" ht="17.25" customHeight="1">
      <c r="A3" s="2" t="s">
        <v>85</v>
      </c>
      <c r="B3" s="3"/>
    </row>
    <row r="4" ht="18.0" customHeight="1">
      <c r="A4" s="6" t="s">
        <v>86</v>
      </c>
      <c r="B4" s="3"/>
    </row>
    <row r="5" ht="13.5" customHeight="1">
      <c r="A5" s="4" t="s">
        <v>87</v>
      </c>
      <c r="B5" s="5"/>
      <c r="C5" s="5"/>
    </row>
    <row r="6" ht="16.5" customHeight="1">
      <c r="A6" s="6" t="s">
        <v>35</v>
      </c>
      <c r="B6" s="7"/>
      <c r="C6" s="8">
        <v>1200.0</v>
      </c>
    </row>
    <row r="7" ht="16.5" customHeight="1">
      <c r="A7" s="4" t="s">
        <v>88</v>
      </c>
      <c r="B7" s="97"/>
      <c r="C7" s="98"/>
    </row>
    <row r="8" ht="14.25" customHeight="1">
      <c r="A8" s="1" t="s">
        <v>8</v>
      </c>
      <c r="B8" s="99">
        <v>3000.0</v>
      </c>
      <c r="C8" s="100"/>
    </row>
    <row r="9" ht="14.25" customHeight="1">
      <c r="A9" s="6" t="s">
        <v>37</v>
      </c>
      <c r="B9" s="101">
        <v>5800.0</v>
      </c>
      <c r="C9" s="100">
        <f>SUM(B8,B9)</f>
        <v>8800</v>
      </c>
    </row>
    <row r="10" ht="15.0" customHeight="1">
      <c r="A10" s="6" t="s">
        <v>38</v>
      </c>
    </row>
    <row r="11" ht="12.75" customHeight="1">
      <c r="A11" s="102" t="s">
        <v>89</v>
      </c>
      <c r="B11" s="15"/>
      <c r="C11" s="16"/>
    </row>
    <row r="12" ht="12.75" customHeight="1">
      <c r="A12" s="103" t="s">
        <v>39</v>
      </c>
      <c r="B12" s="2"/>
      <c r="C12" s="100">
        <v>1000.0</v>
      </c>
    </row>
    <row r="13" ht="12.75" customHeight="1">
      <c r="A13" s="102" t="s">
        <v>90</v>
      </c>
      <c r="B13" s="15"/>
      <c r="C13" s="16"/>
    </row>
    <row r="14" ht="19.5" customHeight="1">
      <c r="A14" s="1" t="s">
        <v>8</v>
      </c>
      <c r="B14" s="104">
        <v>800.0</v>
      </c>
      <c r="C14" s="99">
        <f>SUM(B14,B15)</f>
        <v>4000</v>
      </c>
    </row>
    <row r="15" ht="18.0" customHeight="1">
      <c r="A15" s="6" t="s">
        <v>91</v>
      </c>
      <c r="B15" s="105">
        <v>3200.0</v>
      </c>
    </row>
    <row r="16" ht="16.5" customHeight="1">
      <c r="A16" s="6" t="s">
        <v>43</v>
      </c>
    </row>
    <row r="17" ht="15.0" customHeight="1">
      <c r="A17" s="6" t="s">
        <v>92</v>
      </c>
    </row>
    <row r="18" ht="12.75" customHeight="1">
      <c r="A18" s="1"/>
      <c r="B18" s="10" t="s">
        <v>9</v>
      </c>
      <c r="C18" s="106">
        <f>SUM(C6,C9,C12,C14)</f>
        <v>15000</v>
      </c>
    </row>
    <row r="19" ht="12.75" customHeight="1">
      <c r="A19" s="1"/>
      <c r="B19" s="1"/>
      <c r="C19" s="11"/>
    </row>
    <row r="20" ht="12.75" customHeight="1">
      <c r="A20" s="1" t="s">
        <v>93</v>
      </c>
    </row>
    <row r="21" ht="14.25" customHeight="1">
      <c r="A21" s="107" t="s">
        <v>94</v>
      </c>
      <c r="B21" s="16"/>
      <c r="C21" s="1"/>
    </row>
    <row r="22" ht="15.0" customHeight="1">
      <c r="A22" s="1" t="s">
        <v>95</v>
      </c>
      <c r="B22" s="1"/>
      <c r="C22" s="1"/>
    </row>
    <row r="23" ht="12.75" customHeight="1">
      <c r="A23" s="6" t="s">
        <v>96</v>
      </c>
    </row>
    <row r="24" ht="12.75" customHeight="1">
      <c r="A24" s="6" t="s">
        <v>13</v>
      </c>
    </row>
    <row r="25" ht="12.75" customHeight="1">
      <c r="A25" s="6" t="s">
        <v>14</v>
      </c>
    </row>
    <row r="26" ht="12.75" customHeight="1">
      <c r="A26" s="6" t="s">
        <v>97</v>
      </c>
    </row>
    <row r="27" ht="12.75" customHeight="1">
      <c r="A27" s="6" t="s">
        <v>98</v>
      </c>
    </row>
    <row r="28" ht="25.5" customHeight="1">
      <c r="A28" s="1" t="s">
        <v>99</v>
      </c>
    </row>
    <row r="29" ht="12.75" customHeight="1"/>
    <row r="30" ht="12.75" customHeight="1">
      <c r="A30" s="108" t="s">
        <v>100</v>
      </c>
      <c r="B30" s="109"/>
    </row>
    <row r="31" ht="12.75" customHeight="1">
      <c r="A31" s="110" t="s">
        <v>101</v>
      </c>
      <c r="B31" s="111">
        <v>3000.0</v>
      </c>
    </row>
    <row r="32" ht="12.75" customHeight="1">
      <c r="A32" s="110" t="s">
        <v>102</v>
      </c>
      <c r="B32" s="112" t="s">
        <v>103</v>
      </c>
    </row>
    <row r="33" ht="12.75" customHeight="1">
      <c r="A33" s="113"/>
      <c r="B33" s="114"/>
    </row>
    <row r="34" ht="12.75" customHeight="1">
      <c r="A34" s="113"/>
      <c r="B34" s="114"/>
    </row>
    <row r="35" ht="12.75" customHeight="1">
      <c r="A35" s="12" t="s">
        <v>104</v>
      </c>
    </row>
    <row r="36" ht="30.75" customHeight="1">
      <c r="A36" s="115" t="s">
        <v>105</v>
      </c>
      <c r="B36" s="16"/>
    </row>
    <row r="37" ht="12.75" customHeight="1">
      <c r="A37" s="116" t="s">
        <v>47</v>
      </c>
      <c r="B37" s="116" t="s">
        <v>48</v>
      </c>
    </row>
    <row r="38" ht="12.75" customHeight="1">
      <c r="A38" s="65"/>
      <c r="B38" s="65"/>
    </row>
    <row r="39" ht="12.75" customHeight="1">
      <c r="A39" s="117" t="s">
        <v>106</v>
      </c>
      <c r="B39" s="118" t="s">
        <v>107</v>
      </c>
    </row>
    <row r="40" ht="12.75" customHeight="1">
      <c r="A40" s="117" t="s">
        <v>108</v>
      </c>
      <c r="B40" s="118" t="s">
        <v>109</v>
      </c>
    </row>
    <row r="41" ht="12.75" customHeight="1">
      <c r="A41" s="117" t="s">
        <v>110</v>
      </c>
      <c r="B41" s="118" t="s">
        <v>54</v>
      </c>
    </row>
    <row r="42" ht="12.75" customHeight="1">
      <c r="A42" s="119" t="s">
        <v>111</v>
      </c>
      <c r="B42" s="120" t="s">
        <v>112</v>
      </c>
    </row>
    <row r="43" ht="12.75" customHeight="1">
      <c r="A43" s="117" t="s">
        <v>113</v>
      </c>
      <c r="B43" s="118" t="s">
        <v>114</v>
      </c>
    </row>
    <row r="44" ht="12.75" customHeight="1">
      <c r="A44" s="119" t="s">
        <v>115</v>
      </c>
      <c r="B44" s="120" t="s">
        <v>116</v>
      </c>
    </row>
    <row r="45" ht="12.75" customHeight="1">
      <c r="A45" s="117" t="s">
        <v>117</v>
      </c>
      <c r="B45" s="118" t="s">
        <v>118</v>
      </c>
    </row>
    <row r="46" ht="12.75" customHeight="1">
      <c r="A46" s="117" t="s">
        <v>119</v>
      </c>
      <c r="B46" s="120" t="s">
        <v>64</v>
      </c>
    </row>
    <row r="47" ht="12.75" customHeight="1">
      <c r="A47" s="117" t="s">
        <v>120</v>
      </c>
      <c r="B47" s="118" t="s">
        <v>121</v>
      </c>
    </row>
    <row r="48" ht="12.75" customHeight="1">
      <c r="A48" s="6"/>
      <c r="B48" s="121"/>
    </row>
    <row r="49" ht="12.75" customHeight="1"/>
    <row r="50" ht="12.75" customHeight="1"/>
    <row r="51" ht="12.75" customHeight="1">
      <c r="A51" s="1" t="s">
        <v>122</v>
      </c>
    </row>
    <row r="52" ht="138.75" customHeight="1">
      <c r="A52" s="122" t="s">
        <v>123</v>
      </c>
    </row>
    <row r="53" ht="12.75" customHeight="1">
      <c r="A53" s="2"/>
    </row>
    <row r="54" ht="12.75" customHeight="1">
      <c r="A54" s="12" t="s">
        <v>124</v>
      </c>
    </row>
    <row r="55" ht="12.75" customHeight="1">
      <c r="A55" s="13"/>
    </row>
    <row r="56" ht="27.0" customHeight="1">
      <c r="A56" s="14" t="s">
        <v>125</v>
      </c>
      <c r="B56" s="15"/>
      <c r="C56" s="15"/>
      <c r="D56" s="15"/>
      <c r="E56" s="16"/>
    </row>
    <row r="57" ht="32.25" customHeight="1">
      <c r="A57" s="14" t="s">
        <v>126</v>
      </c>
      <c r="B57" s="15"/>
      <c r="C57" s="15"/>
      <c r="D57" s="15"/>
      <c r="E57" s="16"/>
    </row>
    <row r="58" ht="12.75" customHeight="1">
      <c r="A58" s="17" t="s">
        <v>127</v>
      </c>
      <c r="B58" s="15"/>
      <c r="C58" s="15"/>
      <c r="D58" s="16"/>
      <c r="E58" s="18"/>
    </row>
    <row r="59" ht="12.75" customHeight="1">
      <c r="A59" s="19" t="s">
        <v>21</v>
      </c>
      <c r="B59" s="19"/>
      <c r="C59" s="19"/>
      <c r="D59" s="19"/>
      <c r="E59" s="18"/>
    </row>
    <row r="60" ht="25.5" customHeight="1">
      <c r="A60" s="20" t="s">
        <v>128</v>
      </c>
      <c r="B60" s="15"/>
      <c r="C60" s="15"/>
      <c r="D60" s="16"/>
      <c r="E60" s="18"/>
    </row>
    <row r="61" ht="12.75" customHeight="1">
      <c r="A61" s="20" t="s">
        <v>129</v>
      </c>
      <c r="B61" s="15"/>
      <c r="C61" s="15"/>
      <c r="D61" s="16"/>
      <c r="E61" s="18"/>
    </row>
    <row r="62" ht="24.75" customHeight="1">
      <c r="A62" s="20" t="s">
        <v>130</v>
      </c>
      <c r="B62" s="15"/>
      <c r="C62" s="15"/>
      <c r="D62" s="16"/>
      <c r="E62" s="18"/>
    </row>
    <row r="63" ht="12.75" customHeight="1">
      <c r="A63" s="21" t="s">
        <v>131</v>
      </c>
      <c r="B63" s="15"/>
      <c r="C63" s="15"/>
      <c r="D63" s="15"/>
      <c r="E63" s="16"/>
    </row>
    <row r="64" ht="21.75" customHeight="1">
      <c r="A64" s="14" t="s">
        <v>132</v>
      </c>
      <c r="B64" s="15"/>
      <c r="C64" s="15"/>
      <c r="D64" s="15"/>
      <c r="E64" s="16"/>
    </row>
    <row r="65" ht="12.75" customHeight="1">
      <c r="A65" s="22"/>
      <c r="B65" s="22"/>
      <c r="C65" s="22"/>
      <c r="D65" s="22"/>
      <c r="E65" s="22"/>
    </row>
    <row r="66" ht="12.75" customHeight="1">
      <c r="A66" s="23" t="s">
        <v>133</v>
      </c>
      <c r="B66" s="15"/>
      <c r="C66" s="15"/>
      <c r="D66" s="15"/>
      <c r="E66" s="16"/>
    </row>
    <row r="67" ht="12.75" customHeight="1">
      <c r="A67" s="24"/>
      <c r="B67" s="24"/>
      <c r="C67" s="24"/>
      <c r="D67" s="24"/>
      <c r="E67" s="24"/>
    </row>
    <row r="68" ht="12.75" customHeight="1">
      <c r="A68" s="25"/>
      <c r="B68" s="26"/>
      <c r="C68" s="25"/>
      <c r="D68" s="25"/>
      <c r="E68" s="18"/>
    </row>
    <row r="69" ht="23.25" customHeight="1">
      <c r="A69" s="27" t="s">
        <v>134</v>
      </c>
      <c r="B69" s="28"/>
      <c r="C69" s="29" t="s">
        <v>135</v>
      </c>
      <c r="D69" s="16"/>
      <c r="E69" s="18"/>
    </row>
    <row r="70" ht="12.75" customHeight="1">
      <c r="A70" s="30"/>
      <c r="B70" s="28"/>
      <c r="C70" s="30"/>
      <c r="D70" s="18"/>
      <c r="E70" s="18"/>
    </row>
    <row r="71" ht="12.75" customHeight="1">
      <c r="A71" s="30"/>
      <c r="B71" s="28"/>
      <c r="C71" s="30"/>
      <c r="D71" s="18"/>
      <c r="E71" s="18"/>
    </row>
    <row r="72" ht="12.75" customHeight="1">
      <c r="A72" s="34" t="s">
        <v>136</v>
      </c>
      <c r="B72" s="32"/>
      <c r="C72" s="94"/>
      <c r="D72" s="32"/>
      <c r="E72" s="32"/>
    </row>
    <row r="73" ht="12.75" customHeight="1">
      <c r="A73" s="18"/>
      <c r="B73" s="18"/>
      <c r="C73" s="18"/>
      <c r="D73" s="18"/>
      <c r="E73" s="18"/>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B2:C2"/>
    <mergeCell ref="B3:C3"/>
    <mergeCell ref="B4:C4"/>
    <mergeCell ref="B9:B10"/>
    <mergeCell ref="C9:C10"/>
    <mergeCell ref="A11:C11"/>
    <mergeCell ref="A13:C13"/>
    <mergeCell ref="C14:C17"/>
    <mergeCell ref="B15:B17"/>
    <mergeCell ref="A20:C20"/>
    <mergeCell ref="A21:B21"/>
    <mergeCell ref="A23:C23"/>
    <mergeCell ref="A24:C24"/>
    <mergeCell ref="A25:C25"/>
    <mergeCell ref="A26:C26"/>
    <mergeCell ref="A27:C27"/>
    <mergeCell ref="A28:C28"/>
    <mergeCell ref="A30:B30"/>
    <mergeCell ref="A35:C35"/>
    <mergeCell ref="A36:B36"/>
    <mergeCell ref="A37:A38"/>
    <mergeCell ref="B37:B38"/>
    <mergeCell ref="A51:C51"/>
    <mergeCell ref="A52:B52"/>
    <mergeCell ref="A53:B53"/>
    <mergeCell ref="A54:E54"/>
    <mergeCell ref="A55:E55"/>
    <mergeCell ref="A56:E56"/>
    <mergeCell ref="A66:E66"/>
    <mergeCell ref="C69:D69"/>
    <mergeCell ref="A57:E57"/>
    <mergeCell ref="A58:D58"/>
    <mergeCell ref="A60:D60"/>
    <mergeCell ref="A61:D61"/>
    <mergeCell ref="A62:D62"/>
    <mergeCell ref="A63:E63"/>
    <mergeCell ref="A64:E64"/>
  </mergeCells>
  <printOptions/>
  <pageMargins bottom="0.75" footer="0.0" header="0.0" left="0.7" right="0.7" top="0.75"/>
  <pageSetup orientation="landscape"/>
  <rowBreaks count="2" manualBreakCount="2">
    <brk id="52" man="1"/>
    <brk id="28"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29"/>
    <col customWidth="1" min="2" max="2" width="27.71"/>
    <col customWidth="1" min="3" max="3" width="16.86"/>
    <col customWidth="1" min="4" max="26" width="10.71"/>
  </cols>
  <sheetData>
    <row r="1" ht="12.75" customHeight="1"/>
    <row r="2" ht="12.75" customHeight="1">
      <c r="A2" s="95" t="s">
        <v>83</v>
      </c>
      <c r="B2" s="95" t="s">
        <v>137</v>
      </c>
      <c r="C2" s="96"/>
    </row>
    <row r="3" ht="16.5" customHeight="1">
      <c r="A3" s="2" t="s">
        <v>138</v>
      </c>
      <c r="B3" s="3"/>
    </row>
    <row r="4" ht="20.25" customHeight="1">
      <c r="A4" s="6" t="s">
        <v>139</v>
      </c>
      <c r="B4" s="3"/>
    </row>
    <row r="5" ht="16.5" customHeight="1">
      <c r="A5" s="123" t="s">
        <v>140</v>
      </c>
      <c r="B5" s="3"/>
      <c r="C5" s="3"/>
    </row>
    <row r="6" ht="17.25" customHeight="1">
      <c r="A6" s="4" t="s">
        <v>87</v>
      </c>
      <c r="B6" s="5"/>
      <c r="C6" s="5"/>
    </row>
    <row r="7" ht="19.5" customHeight="1">
      <c r="A7" s="6" t="s">
        <v>35</v>
      </c>
      <c r="B7" s="7"/>
      <c r="C7" s="8">
        <v>1200.0</v>
      </c>
    </row>
    <row r="8" ht="16.5" customHeight="1">
      <c r="A8" s="4" t="s">
        <v>88</v>
      </c>
      <c r="B8" s="97"/>
      <c r="C8" s="98"/>
    </row>
    <row r="9" ht="16.5" customHeight="1">
      <c r="A9" s="1" t="s">
        <v>8</v>
      </c>
      <c r="B9" s="99">
        <v>3000.0</v>
      </c>
      <c r="C9" s="100">
        <f>SUM(B9,B10)</f>
        <v>8800</v>
      </c>
    </row>
    <row r="10" ht="15.75" customHeight="1">
      <c r="A10" s="6" t="s">
        <v>37</v>
      </c>
      <c r="B10" s="101">
        <v>5800.0</v>
      </c>
    </row>
    <row r="11" ht="18.0" customHeight="1">
      <c r="A11" s="6" t="s">
        <v>38</v>
      </c>
    </row>
    <row r="12" ht="12.75" customHeight="1">
      <c r="A12" s="102" t="s">
        <v>89</v>
      </c>
      <c r="B12" s="15"/>
      <c r="C12" s="16"/>
    </row>
    <row r="13" ht="15.75" customHeight="1">
      <c r="A13" s="103" t="s">
        <v>39</v>
      </c>
      <c r="B13" s="2"/>
      <c r="C13" s="100">
        <v>1000.0</v>
      </c>
    </row>
    <row r="14" ht="12.75" customHeight="1">
      <c r="A14" s="103"/>
      <c r="B14" s="10" t="s">
        <v>9</v>
      </c>
      <c r="C14" s="98">
        <f>SUM(C7,C9,C13)</f>
        <v>11000</v>
      </c>
    </row>
    <row r="15" ht="12.75" customHeight="1">
      <c r="A15" s="103"/>
      <c r="B15" s="2"/>
      <c r="C15" s="100"/>
    </row>
    <row r="16" ht="15.0" customHeight="1">
      <c r="A16" s="123" t="s">
        <v>141</v>
      </c>
      <c r="B16" s="2"/>
      <c r="C16" s="100"/>
    </row>
    <row r="17" ht="15.0" customHeight="1">
      <c r="A17" s="4" t="s">
        <v>87</v>
      </c>
      <c r="B17" s="5"/>
      <c r="C17" s="5"/>
    </row>
    <row r="18" ht="12.75" customHeight="1">
      <c r="A18" s="6" t="s">
        <v>142</v>
      </c>
      <c r="B18" s="7"/>
      <c r="C18" s="8">
        <v>1200.0</v>
      </c>
    </row>
    <row r="19" ht="12.75" customHeight="1">
      <c r="A19" s="4" t="s">
        <v>88</v>
      </c>
      <c r="B19" s="97"/>
      <c r="C19" s="98"/>
    </row>
    <row r="20" ht="12.75" customHeight="1">
      <c r="A20" s="1" t="s">
        <v>8</v>
      </c>
      <c r="B20" s="99">
        <v>2500.0</v>
      </c>
      <c r="C20" s="100">
        <f>SUM(B20,B21)</f>
        <v>7900</v>
      </c>
    </row>
    <row r="21" ht="12.75" customHeight="1">
      <c r="A21" s="6" t="s">
        <v>37</v>
      </c>
      <c r="B21" s="101">
        <v>5400.0</v>
      </c>
    </row>
    <row r="22" ht="12.75" customHeight="1">
      <c r="A22" s="6" t="s">
        <v>38</v>
      </c>
    </row>
    <row r="23" ht="12.75" customHeight="1">
      <c r="A23" s="102" t="s">
        <v>89</v>
      </c>
      <c r="B23" s="15"/>
      <c r="C23" s="16"/>
    </row>
    <row r="24" ht="12.75" customHeight="1">
      <c r="A24" s="103" t="s">
        <v>39</v>
      </c>
      <c r="B24" s="2"/>
      <c r="C24" s="100">
        <v>1000.0</v>
      </c>
    </row>
    <row r="25" ht="12.75" customHeight="1">
      <c r="A25" s="103"/>
      <c r="B25" s="10" t="s">
        <v>9</v>
      </c>
      <c r="C25" s="98">
        <f>SUM(C18,C20,C24)</f>
        <v>10100</v>
      </c>
    </row>
    <row r="26" ht="12.75" customHeight="1">
      <c r="A26" s="103"/>
      <c r="B26" s="2"/>
      <c r="C26" s="100"/>
    </row>
    <row r="27" ht="12.75" customHeight="1">
      <c r="A27" s="123" t="s">
        <v>143</v>
      </c>
      <c r="B27" s="2"/>
      <c r="C27" s="100"/>
    </row>
    <row r="28" ht="12.75" customHeight="1">
      <c r="A28" s="102" t="s">
        <v>144</v>
      </c>
      <c r="B28" s="15"/>
      <c r="C28" s="16"/>
    </row>
    <row r="29" ht="18.75" customHeight="1">
      <c r="A29" s="1" t="s">
        <v>8</v>
      </c>
      <c r="B29" s="104">
        <v>800.0</v>
      </c>
      <c r="C29" s="99">
        <f>SUM(B29,B30)</f>
        <v>4000</v>
      </c>
    </row>
    <row r="30" ht="16.5" customHeight="1">
      <c r="A30" s="6" t="s">
        <v>145</v>
      </c>
      <c r="B30" s="105">
        <v>3200.0</v>
      </c>
    </row>
    <row r="31" ht="16.5" customHeight="1">
      <c r="A31" s="6" t="s">
        <v>43</v>
      </c>
    </row>
    <row r="32" ht="16.5" customHeight="1">
      <c r="A32" s="6" t="s">
        <v>146</v>
      </c>
    </row>
    <row r="33" ht="12.75" customHeight="1">
      <c r="A33" s="1"/>
      <c r="B33" s="10" t="s">
        <v>9</v>
      </c>
      <c r="C33" s="106">
        <v>4000.0</v>
      </c>
    </row>
    <row r="34" ht="12.75" customHeight="1">
      <c r="A34" s="1"/>
      <c r="B34" s="1"/>
      <c r="C34" s="11"/>
    </row>
    <row r="35" ht="12.75" customHeight="1">
      <c r="A35" s="1" t="s">
        <v>147</v>
      </c>
    </row>
    <row r="36" ht="15.75" customHeight="1">
      <c r="A36" s="1" t="s">
        <v>95</v>
      </c>
      <c r="B36" s="1"/>
      <c r="C36" s="1"/>
    </row>
    <row r="37" ht="12.75" customHeight="1">
      <c r="A37" s="6" t="s">
        <v>148</v>
      </c>
    </row>
    <row r="38" ht="12.75" customHeight="1">
      <c r="A38" s="6" t="s">
        <v>13</v>
      </c>
    </row>
    <row r="39" ht="12.75" customHeight="1">
      <c r="A39" s="6" t="s">
        <v>14</v>
      </c>
    </row>
    <row r="40" ht="12.75" customHeight="1">
      <c r="A40" s="6" t="s">
        <v>149</v>
      </c>
    </row>
    <row r="41" ht="12.75" customHeight="1">
      <c r="A41" s="6" t="s">
        <v>150</v>
      </c>
    </row>
    <row r="42" ht="25.5" customHeight="1">
      <c r="A42" s="1" t="s">
        <v>151</v>
      </c>
    </row>
    <row r="43" ht="12.75" customHeight="1"/>
    <row r="44" ht="12.75" customHeight="1"/>
    <row r="45" ht="12.75" customHeight="1"/>
    <row r="46" ht="12.75" customHeight="1">
      <c r="A46" s="108" t="s">
        <v>152</v>
      </c>
      <c r="B46" s="109"/>
    </row>
    <row r="47" ht="12.75" customHeight="1">
      <c r="A47" s="110" t="s">
        <v>101</v>
      </c>
      <c r="B47" s="111">
        <v>3000.0</v>
      </c>
    </row>
    <row r="48" ht="12.75" customHeight="1">
      <c r="A48" s="110" t="s">
        <v>153</v>
      </c>
      <c r="B48" s="112" t="s">
        <v>154</v>
      </c>
    </row>
    <row r="49" ht="12.75" customHeight="1">
      <c r="A49" s="113"/>
      <c r="B49" s="114"/>
    </row>
    <row r="50" ht="12.75" customHeight="1">
      <c r="A50" s="113"/>
      <c r="B50" s="114"/>
    </row>
    <row r="51" ht="31.5" customHeight="1">
      <c r="A51" s="12" t="s">
        <v>155</v>
      </c>
    </row>
    <row r="52" ht="32.25" customHeight="1">
      <c r="A52" s="115" t="s">
        <v>156</v>
      </c>
      <c r="B52" s="16"/>
    </row>
    <row r="53" ht="12.75" customHeight="1">
      <c r="A53" s="116" t="s">
        <v>47</v>
      </c>
      <c r="B53" s="116" t="s">
        <v>48</v>
      </c>
    </row>
    <row r="54" ht="12.75" customHeight="1">
      <c r="A54" s="65"/>
      <c r="B54" s="65"/>
    </row>
    <row r="55" ht="12.75" customHeight="1">
      <c r="A55" s="117" t="s">
        <v>157</v>
      </c>
      <c r="B55" s="118" t="s">
        <v>158</v>
      </c>
    </row>
    <row r="56" ht="12.75" customHeight="1">
      <c r="A56" s="117" t="s">
        <v>159</v>
      </c>
      <c r="B56" s="118" t="s">
        <v>160</v>
      </c>
    </row>
    <row r="57" ht="12.75" customHeight="1">
      <c r="A57" s="117" t="s">
        <v>161</v>
      </c>
      <c r="B57" s="118" t="s">
        <v>54</v>
      </c>
    </row>
    <row r="58" ht="12.75" customHeight="1">
      <c r="A58" s="119" t="s">
        <v>162</v>
      </c>
      <c r="B58" s="120" t="s">
        <v>163</v>
      </c>
    </row>
    <row r="59" ht="12.75" customHeight="1">
      <c r="A59" s="117" t="s">
        <v>164</v>
      </c>
      <c r="B59" s="118" t="s">
        <v>165</v>
      </c>
    </row>
    <row r="60" ht="12.75" customHeight="1">
      <c r="A60" s="119" t="s">
        <v>166</v>
      </c>
      <c r="B60" s="120" t="s">
        <v>167</v>
      </c>
    </row>
    <row r="61" ht="12.75" customHeight="1">
      <c r="A61" s="117" t="s">
        <v>168</v>
      </c>
      <c r="B61" s="118" t="s">
        <v>169</v>
      </c>
    </row>
    <row r="62" ht="12.75" customHeight="1">
      <c r="A62" s="117" t="s">
        <v>170</v>
      </c>
      <c r="B62" s="120" t="s">
        <v>64</v>
      </c>
    </row>
    <row r="63" ht="12.75" customHeight="1">
      <c r="A63" s="117" t="s">
        <v>171</v>
      </c>
      <c r="B63" s="118" t="s">
        <v>172</v>
      </c>
    </row>
    <row r="64" ht="12.75" customHeight="1"/>
    <row r="65" ht="12.75" customHeight="1"/>
    <row r="66" ht="12.75" customHeight="1">
      <c r="A66" s="1" t="s">
        <v>173</v>
      </c>
    </row>
    <row r="67" ht="133.5" customHeight="1">
      <c r="A67" s="122" t="s">
        <v>174</v>
      </c>
    </row>
    <row r="68" ht="12.75" customHeight="1">
      <c r="A68" s="124"/>
      <c r="B68" s="124"/>
      <c r="C68" s="124"/>
    </row>
    <row r="69" ht="114.0" customHeight="1">
      <c r="A69" s="2" t="s">
        <v>175</v>
      </c>
    </row>
    <row r="70" ht="12.75" customHeight="1">
      <c r="A70" s="12" t="s">
        <v>176</v>
      </c>
    </row>
    <row r="71" ht="12.75" customHeight="1">
      <c r="A71" s="13"/>
    </row>
    <row r="72" ht="31.5" customHeight="1">
      <c r="A72" s="14" t="s">
        <v>177</v>
      </c>
      <c r="B72" s="15"/>
      <c r="C72" s="15"/>
      <c r="D72" s="15"/>
      <c r="E72" s="16"/>
    </row>
    <row r="73" ht="25.5" customHeight="1">
      <c r="A73" s="14" t="s">
        <v>178</v>
      </c>
      <c r="B73" s="15"/>
      <c r="C73" s="15"/>
      <c r="D73" s="15"/>
      <c r="E73" s="16"/>
    </row>
    <row r="74" ht="12.75" customHeight="1">
      <c r="A74" s="17" t="s">
        <v>179</v>
      </c>
      <c r="B74" s="15"/>
      <c r="C74" s="15"/>
      <c r="D74" s="16"/>
      <c r="E74" s="18"/>
    </row>
    <row r="75" ht="12.75" customHeight="1">
      <c r="A75" s="19" t="s">
        <v>21</v>
      </c>
      <c r="B75" s="19"/>
      <c r="C75" s="19"/>
      <c r="D75" s="19"/>
      <c r="E75" s="18"/>
    </row>
    <row r="76" ht="12.75" customHeight="1">
      <c r="A76" s="20" t="s">
        <v>180</v>
      </c>
      <c r="B76" s="15"/>
      <c r="C76" s="15"/>
      <c r="D76" s="16"/>
      <c r="E76" s="18"/>
    </row>
    <row r="77" ht="12.75" customHeight="1">
      <c r="A77" s="20" t="s">
        <v>181</v>
      </c>
      <c r="B77" s="15"/>
      <c r="C77" s="15"/>
      <c r="D77" s="16"/>
      <c r="E77" s="18"/>
    </row>
    <row r="78" ht="33.0" customHeight="1">
      <c r="A78" s="20" t="s">
        <v>182</v>
      </c>
      <c r="B78" s="15"/>
      <c r="C78" s="15"/>
      <c r="D78" s="16"/>
      <c r="E78" s="18"/>
    </row>
    <row r="79" ht="12.75" customHeight="1">
      <c r="A79" s="21" t="s">
        <v>183</v>
      </c>
      <c r="B79" s="15"/>
      <c r="C79" s="15"/>
      <c r="D79" s="15"/>
      <c r="E79" s="16"/>
    </row>
    <row r="80" ht="39.0" customHeight="1">
      <c r="A80" s="14" t="s">
        <v>184</v>
      </c>
      <c r="B80" s="15"/>
      <c r="C80" s="15"/>
      <c r="D80" s="15"/>
      <c r="E80" s="16"/>
    </row>
    <row r="81" ht="12.75" customHeight="1">
      <c r="A81" s="22"/>
      <c r="B81" s="22"/>
      <c r="C81" s="22"/>
      <c r="D81" s="22"/>
      <c r="E81" s="22"/>
    </row>
    <row r="82" ht="12.75" customHeight="1">
      <c r="A82" s="23" t="s">
        <v>185</v>
      </c>
      <c r="B82" s="15"/>
      <c r="C82" s="15"/>
      <c r="D82" s="15"/>
      <c r="E82" s="16"/>
    </row>
    <row r="83" ht="12.75" customHeight="1">
      <c r="A83" s="24"/>
      <c r="B83" s="24"/>
      <c r="C83" s="24"/>
      <c r="D83" s="24"/>
      <c r="E83" s="24"/>
    </row>
    <row r="84" ht="12.75" customHeight="1">
      <c r="A84" s="25"/>
      <c r="B84" s="26"/>
      <c r="C84" s="25"/>
      <c r="D84" s="25"/>
      <c r="E84" s="18"/>
    </row>
    <row r="85" ht="12.75" customHeight="1">
      <c r="A85" s="27" t="s">
        <v>28</v>
      </c>
      <c r="B85" s="28"/>
      <c r="C85" s="29" t="s">
        <v>186</v>
      </c>
      <c r="D85" s="16"/>
      <c r="E85" s="18"/>
    </row>
    <row r="86" ht="12.75" customHeight="1">
      <c r="A86" s="30"/>
      <c r="B86" s="28"/>
      <c r="C86" s="30"/>
      <c r="D86" s="18"/>
      <c r="E86" s="18"/>
    </row>
    <row r="87" ht="12.75" customHeight="1">
      <c r="A87" s="30"/>
      <c r="B87" s="28"/>
      <c r="C87" s="30"/>
      <c r="D87" s="18"/>
      <c r="E87" s="18"/>
    </row>
    <row r="88" ht="12.75" customHeight="1">
      <c r="A88" s="34" t="s">
        <v>30</v>
      </c>
      <c r="B88" s="32"/>
      <c r="C88" s="94"/>
      <c r="D88" s="32"/>
      <c r="E88" s="32"/>
    </row>
    <row r="89" ht="12.75" customHeight="1">
      <c r="A89" s="18"/>
      <c r="B89" s="18"/>
      <c r="C89" s="18"/>
      <c r="D89" s="18"/>
      <c r="E89" s="18"/>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9">
    <mergeCell ref="B2:C2"/>
    <mergeCell ref="B3:C3"/>
    <mergeCell ref="B4:C4"/>
    <mergeCell ref="C9:C11"/>
    <mergeCell ref="B10:B11"/>
    <mergeCell ref="A12:C12"/>
    <mergeCell ref="C20:C22"/>
    <mergeCell ref="B21:B22"/>
    <mergeCell ref="A23:C23"/>
    <mergeCell ref="A28:C28"/>
    <mergeCell ref="C29:C32"/>
    <mergeCell ref="B30:B32"/>
    <mergeCell ref="A35:C35"/>
    <mergeCell ref="A37:C37"/>
    <mergeCell ref="A38:C38"/>
    <mergeCell ref="A39:C39"/>
    <mergeCell ref="A40:C40"/>
    <mergeCell ref="A41:C41"/>
    <mergeCell ref="A42:C42"/>
    <mergeCell ref="A46:B46"/>
    <mergeCell ref="A51:B51"/>
    <mergeCell ref="A52:B52"/>
    <mergeCell ref="A53:A54"/>
    <mergeCell ref="B53:B54"/>
    <mergeCell ref="A66:C66"/>
    <mergeCell ref="A67:B67"/>
    <mergeCell ref="A69:B69"/>
    <mergeCell ref="A70:E70"/>
    <mergeCell ref="A79:E79"/>
    <mergeCell ref="A80:E80"/>
    <mergeCell ref="A82:E82"/>
    <mergeCell ref="C85:D85"/>
    <mergeCell ref="A71:E71"/>
    <mergeCell ref="A72:E72"/>
    <mergeCell ref="A73:E73"/>
    <mergeCell ref="A74:D74"/>
    <mergeCell ref="A76:D76"/>
    <mergeCell ref="A77:D77"/>
    <mergeCell ref="A78:D78"/>
  </mergeCells>
  <printOptions/>
  <pageMargins bottom="0.75" footer="0.0" header="0.0" left="0.7" right="0.7" top="1.76"/>
  <pageSetup orientation="portrait"/>
  <rowBreaks count="2" manualBreakCount="2">
    <brk id="69" man="1"/>
    <brk id="43"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0"/>
    <col customWidth="1" min="2" max="2" width="17.86"/>
    <col customWidth="1" min="3" max="3" width="24.0"/>
    <col customWidth="1" min="4" max="26" width="10.71"/>
  </cols>
  <sheetData>
    <row r="1" ht="12.75" customHeight="1"/>
    <row r="2" ht="12.75" customHeight="1">
      <c r="A2" s="95" t="s">
        <v>83</v>
      </c>
      <c r="B2" s="95" t="s">
        <v>137</v>
      </c>
      <c r="C2" s="96"/>
    </row>
    <row r="3" ht="16.5" customHeight="1">
      <c r="A3" s="2" t="s">
        <v>187</v>
      </c>
      <c r="B3" s="3"/>
    </row>
    <row r="4" ht="16.5" customHeight="1">
      <c r="A4" s="1" t="s">
        <v>188</v>
      </c>
      <c r="B4" s="3"/>
    </row>
    <row r="5" ht="16.5" customHeight="1">
      <c r="A5" s="1"/>
      <c r="B5" s="3"/>
      <c r="C5" s="3"/>
    </row>
    <row r="6" ht="16.5" customHeight="1">
      <c r="A6" s="1" t="s">
        <v>189</v>
      </c>
      <c r="B6" s="3"/>
      <c r="C6" s="3"/>
    </row>
    <row r="7" ht="15.75" customHeight="1">
      <c r="A7" s="4" t="s">
        <v>190</v>
      </c>
      <c r="B7" s="5"/>
      <c r="C7" s="5"/>
    </row>
    <row r="8" ht="18.0" customHeight="1">
      <c r="A8" s="6" t="s">
        <v>191</v>
      </c>
      <c r="B8" s="7"/>
      <c r="C8" s="8">
        <v>1400.0</v>
      </c>
    </row>
    <row r="9" ht="12.75" customHeight="1">
      <c r="A9" s="102" t="s">
        <v>192</v>
      </c>
      <c r="B9" s="15"/>
      <c r="C9" s="16"/>
    </row>
    <row r="10" ht="17.25" customHeight="1">
      <c r="A10" s="125" t="s">
        <v>8</v>
      </c>
      <c r="B10" s="105">
        <v>3000.0</v>
      </c>
      <c r="C10" s="100">
        <f>SUM(B10,B11)</f>
        <v>8800</v>
      </c>
    </row>
    <row r="11" ht="18.75" customHeight="1">
      <c r="A11" s="6" t="s">
        <v>6</v>
      </c>
      <c r="B11" s="105">
        <v>5800.0</v>
      </c>
    </row>
    <row r="12" ht="17.25" customHeight="1">
      <c r="A12" s="6" t="s">
        <v>38</v>
      </c>
    </row>
    <row r="13" ht="12.75" customHeight="1">
      <c r="A13" s="102" t="s">
        <v>39</v>
      </c>
      <c r="B13" s="15"/>
      <c r="C13" s="16"/>
    </row>
    <row r="14" ht="18.75" customHeight="1">
      <c r="A14" s="126" t="s">
        <v>193</v>
      </c>
      <c r="B14" s="127">
        <v>1000.0</v>
      </c>
      <c r="C14" s="8">
        <v>1000.0</v>
      </c>
    </row>
    <row r="15" ht="12.75" customHeight="1">
      <c r="A15" s="6"/>
      <c r="B15" s="128" t="s">
        <v>9</v>
      </c>
      <c r="C15" s="129">
        <f>SUM(C8,C10,C14)</f>
        <v>11200</v>
      </c>
    </row>
    <row r="16" ht="12.75" customHeight="1">
      <c r="A16" s="6"/>
      <c r="B16" s="6"/>
      <c r="C16" s="130"/>
    </row>
    <row r="17" ht="12.75" customHeight="1">
      <c r="A17" s="1" t="s">
        <v>194</v>
      </c>
      <c r="B17" s="6"/>
      <c r="C17" s="130"/>
    </row>
    <row r="18" ht="12.75" customHeight="1">
      <c r="A18" s="102" t="s">
        <v>195</v>
      </c>
      <c r="B18" s="15"/>
      <c r="C18" s="16"/>
    </row>
    <row r="19" ht="13.5" customHeight="1">
      <c r="A19" s="1" t="s">
        <v>8</v>
      </c>
      <c r="B19" s="104">
        <v>800.0</v>
      </c>
      <c r="C19" s="99">
        <f>SUM(B19,B20)</f>
        <v>4000</v>
      </c>
    </row>
    <row r="20" ht="19.5" customHeight="1">
      <c r="A20" s="6" t="s">
        <v>196</v>
      </c>
      <c r="B20" s="105">
        <v>3200.0</v>
      </c>
    </row>
    <row r="21" ht="17.25" customHeight="1">
      <c r="A21" s="6" t="s">
        <v>43</v>
      </c>
    </row>
    <row r="22" ht="15.75" customHeight="1">
      <c r="A22" s="6" t="s">
        <v>197</v>
      </c>
    </row>
    <row r="23" ht="12.75" customHeight="1">
      <c r="A23" s="1"/>
      <c r="B23" s="10" t="s">
        <v>9</v>
      </c>
      <c r="C23" s="131">
        <f>SUM(C8,C10,C14,C19)</f>
        <v>15200</v>
      </c>
    </row>
    <row r="24" ht="12.75" customHeight="1">
      <c r="A24" s="1"/>
      <c r="B24" s="1"/>
      <c r="C24" s="132"/>
    </row>
    <row r="25" ht="12.75" customHeight="1">
      <c r="A25" s="1" t="s">
        <v>198</v>
      </c>
    </row>
    <row r="26" ht="12.75" customHeight="1">
      <c r="A26" s="133" t="s">
        <v>199</v>
      </c>
      <c r="B26" s="1"/>
      <c r="C26" s="1"/>
    </row>
    <row r="27" ht="12.75" customHeight="1">
      <c r="A27" s="1" t="s">
        <v>95</v>
      </c>
      <c r="B27" s="1"/>
      <c r="C27" s="1"/>
    </row>
    <row r="28" ht="12.75" customHeight="1">
      <c r="A28" s="6" t="s">
        <v>200</v>
      </c>
    </row>
    <row r="29" ht="12.75" customHeight="1">
      <c r="A29" s="6" t="s">
        <v>13</v>
      </c>
    </row>
    <row r="30" ht="12.75" customHeight="1">
      <c r="A30" s="6" t="s">
        <v>14</v>
      </c>
    </row>
    <row r="31" ht="12.75" customHeight="1">
      <c r="A31" s="6" t="s">
        <v>201</v>
      </c>
    </row>
    <row r="32" ht="12.75" customHeight="1">
      <c r="A32" s="6" t="s">
        <v>202</v>
      </c>
    </row>
    <row r="33" ht="25.5" customHeight="1">
      <c r="A33" s="1" t="s">
        <v>203</v>
      </c>
    </row>
    <row r="34" ht="12.75" customHeight="1"/>
    <row r="35" ht="12.75" customHeight="1"/>
    <row r="36" ht="12.75" customHeight="1"/>
    <row r="37" ht="12.75" customHeight="1">
      <c r="A37" s="108" t="s">
        <v>204</v>
      </c>
      <c r="B37" s="109"/>
    </row>
    <row r="38" ht="12.75" customHeight="1">
      <c r="A38" s="110" t="s">
        <v>101</v>
      </c>
      <c r="B38" s="111">
        <v>3000.0</v>
      </c>
    </row>
    <row r="39" ht="12.75" customHeight="1">
      <c r="A39" s="110" t="s">
        <v>205</v>
      </c>
      <c r="B39" s="112" t="s">
        <v>206</v>
      </c>
    </row>
    <row r="40" ht="12.75" customHeight="1">
      <c r="A40" s="113"/>
      <c r="B40" s="114"/>
    </row>
    <row r="41" ht="12.75" customHeight="1">
      <c r="A41" s="113"/>
      <c r="B41" s="114"/>
    </row>
    <row r="42" ht="12.75" customHeight="1">
      <c r="A42" s="12" t="s">
        <v>207</v>
      </c>
      <c r="C42" s="134"/>
    </row>
    <row r="43" ht="12.75" customHeight="1">
      <c r="A43" s="135" t="s">
        <v>208</v>
      </c>
      <c r="B43" s="136"/>
      <c r="C43" s="19"/>
    </row>
    <row r="44" ht="12.75" customHeight="1">
      <c r="A44" s="137"/>
      <c r="B44" s="90"/>
      <c r="C44" s="19"/>
    </row>
    <row r="45" ht="12.75" customHeight="1">
      <c r="A45" s="138"/>
      <c r="B45" s="138"/>
      <c r="C45" s="138"/>
    </row>
    <row r="46" ht="12.75" customHeight="1">
      <c r="A46" s="116" t="s">
        <v>47</v>
      </c>
      <c r="B46" s="116" t="s">
        <v>48</v>
      </c>
    </row>
    <row r="47" ht="12.75" customHeight="1">
      <c r="A47" s="65"/>
      <c r="B47" s="65"/>
    </row>
    <row r="48" ht="12.75" customHeight="1">
      <c r="A48" s="117" t="s">
        <v>209</v>
      </c>
      <c r="B48" s="118" t="s">
        <v>210</v>
      </c>
    </row>
    <row r="49" ht="12.75" customHeight="1">
      <c r="A49" s="117" t="s">
        <v>211</v>
      </c>
      <c r="B49" s="118" t="s">
        <v>212</v>
      </c>
    </row>
    <row r="50" ht="12.75" customHeight="1">
      <c r="A50" s="117" t="s">
        <v>213</v>
      </c>
      <c r="B50" s="118" t="s">
        <v>54</v>
      </c>
    </row>
    <row r="51" ht="12.75" customHeight="1">
      <c r="A51" s="119" t="s">
        <v>214</v>
      </c>
      <c r="B51" s="120" t="s">
        <v>215</v>
      </c>
    </row>
    <row r="52" ht="12.75" customHeight="1">
      <c r="A52" s="117" t="s">
        <v>216</v>
      </c>
      <c r="B52" s="118" t="s">
        <v>217</v>
      </c>
    </row>
    <row r="53" ht="12.75" customHeight="1">
      <c r="A53" s="119" t="s">
        <v>218</v>
      </c>
      <c r="B53" s="120" t="s">
        <v>219</v>
      </c>
    </row>
    <row r="54" ht="12.75" customHeight="1">
      <c r="A54" s="117" t="s">
        <v>220</v>
      </c>
      <c r="B54" s="118" t="s">
        <v>221</v>
      </c>
    </row>
    <row r="55" ht="12.75" customHeight="1">
      <c r="A55" s="117" t="s">
        <v>222</v>
      </c>
      <c r="B55" s="120" t="s">
        <v>64</v>
      </c>
    </row>
    <row r="56" ht="12.75" customHeight="1">
      <c r="A56" s="117" t="s">
        <v>223</v>
      </c>
      <c r="B56" s="118" t="s">
        <v>224</v>
      </c>
    </row>
    <row r="57" ht="12.75" customHeight="1"/>
    <row r="58" ht="12.75" customHeight="1"/>
    <row r="59" ht="12.75" customHeight="1">
      <c r="A59" s="1" t="s">
        <v>225</v>
      </c>
    </row>
    <row r="60" ht="142.5" customHeight="1">
      <c r="A60" s="122" t="s">
        <v>226</v>
      </c>
    </row>
    <row r="61" ht="12.75" customHeight="1">
      <c r="A61" s="124"/>
      <c r="B61" s="124"/>
      <c r="C61" s="124"/>
    </row>
    <row r="62" ht="132.0" customHeight="1">
      <c r="A62" s="122" t="s">
        <v>227</v>
      </c>
    </row>
    <row r="63" ht="27.75" customHeight="1">
      <c r="A63" s="139" t="s">
        <v>228</v>
      </c>
    </row>
    <row r="64" ht="12.75" customHeight="1">
      <c r="A64" s="13"/>
    </row>
    <row r="65" ht="28.5" customHeight="1">
      <c r="A65" s="14" t="s">
        <v>229</v>
      </c>
      <c r="B65" s="15"/>
      <c r="C65" s="15"/>
      <c r="D65" s="15"/>
      <c r="E65" s="16"/>
    </row>
    <row r="66" ht="31.5" customHeight="1">
      <c r="A66" s="14" t="s">
        <v>230</v>
      </c>
      <c r="B66" s="15"/>
      <c r="C66" s="15"/>
      <c r="D66" s="15"/>
      <c r="E66" s="16"/>
    </row>
    <row r="67" ht="12.75" customHeight="1">
      <c r="A67" s="17" t="s">
        <v>231</v>
      </c>
      <c r="B67" s="15"/>
      <c r="C67" s="15"/>
      <c r="D67" s="16"/>
      <c r="E67" s="18"/>
    </row>
    <row r="68" ht="12.75" customHeight="1">
      <c r="A68" s="19" t="s">
        <v>21</v>
      </c>
      <c r="B68" s="19"/>
      <c r="C68" s="19"/>
      <c r="D68" s="19"/>
      <c r="E68" s="18"/>
    </row>
    <row r="69" ht="12.75" customHeight="1">
      <c r="A69" s="20" t="s">
        <v>232</v>
      </c>
      <c r="B69" s="15"/>
      <c r="C69" s="15"/>
      <c r="D69" s="16"/>
      <c r="E69" s="18"/>
    </row>
    <row r="70" ht="19.5" customHeight="1">
      <c r="A70" s="20" t="s">
        <v>233</v>
      </c>
      <c r="B70" s="15"/>
      <c r="C70" s="15"/>
      <c r="D70" s="16"/>
      <c r="E70" s="18"/>
    </row>
    <row r="71" ht="34.5" customHeight="1">
      <c r="A71" s="20" t="s">
        <v>234</v>
      </c>
      <c r="B71" s="15"/>
      <c r="C71" s="15"/>
      <c r="D71" s="16"/>
      <c r="E71" s="18"/>
    </row>
    <row r="72" ht="12.75" customHeight="1">
      <c r="A72" s="21" t="s">
        <v>235</v>
      </c>
      <c r="B72" s="15"/>
      <c r="C72" s="15"/>
      <c r="D72" s="15"/>
      <c r="E72" s="16"/>
    </row>
    <row r="73" ht="37.5" customHeight="1">
      <c r="A73" s="14" t="s">
        <v>236</v>
      </c>
      <c r="B73" s="15"/>
      <c r="C73" s="15"/>
      <c r="D73" s="15"/>
      <c r="E73" s="16"/>
    </row>
    <row r="74" ht="12.75" customHeight="1">
      <c r="A74" s="22"/>
      <c r="B74" s="22"/>
      <c r="C74" s="22"/>
      <c r="D74" s="22"/>
      <c r="E74" s="22"/>
    </row>
    <row r="75" ht="27.0" customHeight="1">
      <c r="A75" s="23" t="s">
        <v>237</v>
      </c>
      <c r="B75" s="15"/>
      <c r="C75" s="15"/>
      <c r="D75" s="15"/>
      <c r="E75" s="16"/>
    </row>
    <row r="76" ht="12.75" customHeight="1">
      <c r="A76" s="24"/>
      <c r="B76" s="24"/>
      <c r="C76" s="24"/>
      <c r="D76" s="24"/>
      <c r="E76" s="24"/>
    </row>
    <row r="77" ht="12.75" customHeight="1">
      <c r="A77" s="25"/>
      <c r="B77" s="26"/>
      <c r="C77" s="25"/>
      <c r="D77" s="25"/>
      <c r="E77" s="18"/>
    </row>
    <row r="78" ht="12.75" customHeight="1">
      <c r="A78" s="27" t="s">
        <v>238</v>
      </c>
      <c r="B78" s="28"/>
      <c r="C78" s="29" t="s">
        <v>239</v>
      </c>
      <c r="D78" s="16"/>
      <c r="E78" s="18"/>
    </row>
    <row r="79" ht="12.75" customHeight="1">
      <c r="A79" s="30"/>
      <c r="B79" s="28"/>
      <c r="C79" s="30"/>
      <c r="D79" s="18"/>
      <c r="E79" s="18"/>
    </row>
    <row r="80" ht="12.75" customHeight="1">
      <c r="A80" s="30"/>
      <c r="B80" s="28"/>
      <c r="C80" s="30"/>
      <c r="D80" s="18"/>
      <c r="E80" s="18"/>
    </row>
    <row r="81" ht="12.75" customHeight="1">
      <c r="A81" s="93" t="s">
        <v>136</v>
      </c>
      <c r="B81" s="32"/>
      <c r="C81" s="94"/>
      <c r="D81" s="32"/>
      <c r="E81" s="32"/>
    </row>
    <row r="82" ht="12.75" customHeight="1">
      <c r="A82" s="18"/>
      <c r="B82" s="18"/>
      <c r="C82" s="18"/>
      <c r="D82" s="18"/>
      <c r="E82" s="18"/>
    </row>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C10:C12"/>
    <mergeCell ref="C19:C22"/>
    <mergeCell ref="B2:C2"/>
    <mergeCell ref="B3:C3"/>
    <mergeCell ref="B4:C4"/>
    <mergeCell ref="A9:C9"/>
    <mergeCell ref="B11:B12"/>
    <mergeCell ref="A13:C13"/>
    <mergeCell ref="A18:C18"/>
    <mergeCell ref="B20:B22"/>
    <mergeCell ref="A25:C25"/>
    <mergeCell ref="A28:C28"/>
    <mergeCell ref="A29:C29"/>
    <mergeCell ref="A30:C30"/>
    <mergeCell ref="A31:C31"/>
    <mergeCell ref="A32:C32"/>
    <mergeCell ref="A33:C33"/>
    <mergeCell ref="A37:B37"/>
    <mergeCell ref="A42:B42"/>
    <mergeCell ref="A43:B44"/>
    <mergeCell ref="A46:A47"/>
    <mergeCell ref="B46:B47"/>
    <mergeCell ref="A59:C59"/>
    <mergeCell ref="A69:D69"/>
    <mergeCell ref="A70:D70"/>
    <mergeCell ref="A71:D71"/>
    <mergeCell ref="A72:E72"/>
    <mergeCell ref="A73:E73"/>
    <mergeCell ref="A75:E75"/>
    <mergeCell ref="C78:D78"/>
    <mergeCell ref="A60:B60"/>
    <mergeCell ref="A62:B62"/>
    <mergeCell ref="A63:E63"/>
    <mergeCell ref="A64:E64"/>
    <mergeCell ref="A65:E65"/>
    <mergeCell ref="A66:E66"/>
    <mergeCell ref="A67:D67"/>
  </mergeCells>
  <printOptions/>
  <pageMargins bottom="0.75" footer="0.0" header="0.0" left="0.7" right="0.7" top="1.78"/>
  <pageSetup orientation="portrait"/>
  <rowBreaks count="2" manualBreakCount="2">
    <brk id="34" man="1"/>
    <brk id="62"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29"/>
    <col customWidth="1" min="2" max="2" width="31.86"/>
    <col customWidth="1" min="3" max="3" width="17.86"/>
    <col customWidth="1" min="4" max="26" width="8.86"/>
  </cols>
  <sheetData>
    <row r="1" ht="13.5" customHeight="1">
      <c r="A1" s="140" t="s">
        <v>240</v>
      </c>
      <c r="B1" s="141"/>
      <c r="C1" s="142"/>
    </row>
    <row r="2" ht="13.5" customHeight="1">
      <c r="A2" s="143"/>
      <c r="B2" s="3"/>
      <c r="C2" s="3"/>
    </row>
    <row r="3" ht="12.75" customHeight="1">
      <c r="A3" s="95" t="s">
        <v>241</v>
      </c>
      <c r="B3" s="95" t="s">
        <v>137</v>
      </c>
      <c r="C3" s="96"/>
    </row>
    <row r="4" ht="12.75" customHeight="1">
      <c r="A4" s="2" t="s">
        <v>242</v>
      </c>
      <c r="B4" s="3"/>
    </row>
    <row r="5" ht="12.75" customHeight="1">
      <c r="A5" s="144" t="s">
        <v>243</v>
      </c>
      <c r="B5" s="141"/>
      <c r="C5" s="142"/>
    </row>
    <row r="6" ht="12.75" customHeight="1">
      <c r="A6" s="4" t="s">
        <v>244</v>
      </c>
      <c r="B6" s="5"/>
      <c r="C6" s="5"/>
    </row>
    <row r="7" ht="25.5" customHeight="1">
      <c r="A7" s="2" t="s">
        <v>245</v>
      </c>
      <c r="B7" s="9">
        <v>14500.0</v>
      </c>
      <c r="C7" s="145">
        <f>SUM(B7,B8)</f>
        <v>18500</v>
      </c>
    </row>
    <row r="8" ht="12.75" customHeight="1">
      <c r="A8" s="6" t="s">
        <v>246</v>
      </c>
      <c r="B8" s="9">
        <v>4000.0</v>
      </c>
    </row>
    <row r="9" ht="12.75" customHeight="1">
      <c r="A9" s="102" t="s">
        <v>247</v>
      </c>
      <c r="B9" s="15"/>
      <c r="C9" s="16"/>
    </row>
    <row r="10" ht="12.75" customHeight="1">
      <c r="A10" s="6" t="s">
        <v>248</v>
      </c>
      <c r="B10" s="6"/>
      <c r="C10" s="99">
        <v>6600.0</v>
      </c>
    </row>
    <row r="11" ht="12.75" customHeight="1">
      <c r="A11" s="6" t="s">
        <v>249</v>
      </c>
      <c r="B11" s="6"/>
    </row>
    <row r="12" ht="13.5" customHeight="1">
      <c r="A12" s="146" t="s">
        <v>250</v>
      </c>
      <c r="B12" s="2"/>
    </row>
    <row r="13" ht="12.75" customHeight="1">
      <c r="A13" s="6"/>
      <c r="B13" s="6"/>
    </row>
    <row r="14" ht="13.5" customHeight="1">
      <c r="A14" s="102" t="s">
        <v>90</v>
      </c>
      <c r="B14" s="15"/>
      <c r="C14" s="16"/>
    </row>
    <row r="15" ht="12.75" customHeight="1">
      <c r="A15" s="6" t="s">
        <v>251</v>
      </c>
      <c r="B15" s="6"/>
      <c r="C15" s="99">
        <v>4250.0</v>
      </c>
    </row>
    <row r="16" ht="12.75" customHeight="1">
      <c r="A16" s="6" t="s">
        <v>43</v>
      </c>
      <c r="B16" s="2"/>
    </row>
    <row r="17" ht="12.75" customHeight="1">
      <c r="A17" s="6" t="s">
        <v>252</v>
      </c>
      <c r="B17" s="6"/>
    </row>
    <row r="18" ht="14.25" customHeight="1">
      <c r="A18" s="147" t="s">
        <v>253</v>
      </c>
      <c r="B18" s="148" t="s">
        <v>253</v>
      </c>
      <c r="C18" s="149">
        <f>SUM(C7,C10,C15)</f>
        <v>29350</v>
      </c>
    </row>
    <row r="19" ht="12.75" customHeight="1">
      <c r="A19" s="1" t="s">
        <v>254</v>
      </c>
    </row>
    <row r="20" ht="12.75" customHeight="1">
      <c r="A20" s="6" t="s">
        <v>255</v>
      </c>
    </row>
    <row r="21" ht="14.25" customHeight="1">
      <c r="A21" s="6" t="s">
        <v>13</v>
      </c>
    </row>
    <row r="22" ht="13.5" customHeight="1">
      <c r="A22" s="6" t="s">
        <v>256</v>
      </c>
    </row>
    <row r="23" ht="13.5" customHeight="1">
      <c r="A23" s="6" t="s">
        <v>257</v>
      </c>
    </row>
    <row r="24" ht="27.0" customHeight="1">
      <c r="A24" s="1" t="s">
        <v>258</v>
      </c>
    </row>
    <row r="25" ht="12.75" customHeight="1"/>
    <row r="26" ht="12.75" customHeight="1"/>
    <row r="27" ht="12.75" customHeight="1">
      <c r="A27" s="108" t="s">
        <v>259</v>
      </c>
      <c r="B27" s="109"/>
    </row>
    <row r="28" ht="12.75" customHeight="1">
      <c r="A28" s="110" t="s">
        <v>101</v>
      </c>
      <c r="B28" s="111">
        <v>3000.0</v>
      </c>
    </row>
    <row r="29" ht="12.75" customHeight="1">
      <c r="A29" s="110" t="s">
        <v>260</v>
      </c>
      <c r="B29" s="112" t="s">
        <v>261</v>
      </c>
    </row>
    <row r="30" ht="12.75" customHeight="1">
      <c r="A30" s="113"/>
      <c r="B30" s="114"/>
    </row>
    <row r="31" ht="12.75" customHeight="1">
      <c r="A31" s="113"/>
      <c r="B31" s="114"/>
    </row>
    <row r="32" ht="12.75" customHeight="1">
      <c r="A32" s="12" t="s">
        <v>262</v>
      </c>
    </row>
    <row r="33" ht="12.75" customHeight="1">
      <c r="A33" s="135" t="s">
        <v>263</v>
      </c>
      <c r="B33" s="136"/>
    </row>
    <row r="34" ht="12.75" customHeight="1">
      <c r="A34" s="137"/>
      <c r="B34" s="90"/>
    </row>
    <row r="35" ht="12.75" customHeight="1">
      <c r="A35" s="138"/>
      <c r="B35" s="138"/>
    </row>
    <row r="36" ht="12.75" customHeight="1">
      <c r="A36" s="116" t="s">
        <v>47</v>
      </c>
      <c r="B36" s="116" t="s">
        <v>48</v>
      </c>
    </row>
    <row r="37" ht="12.75" customHeight="1">
      <c r="A37" s="65"/>
      <c r="B37" s="65"/>
    </row>
    <row r="38" ht="12.75" customHeight="1">
      <c r="A38" s="117" t="s">
        <v>264</v>
      </c>
      <c r="B38" s="118" t="s">
        <v>265</v>
      </c>
    </row>
    <row r="39" ht="12.75" customHeight="1">
      <c r="A39" s="117" t="s">
        <v>266</v>
      </c>
      <c r="B39" s="118" t="s">
        <v>267</v>
      </c>
    </row>
    <row r="40" ht="12.75" customHeight="1">
      <c r="A40" s="117" t="s">
        <v>268</v>
      </c>
      <c r="B40" s="118" t="s">
        <v>54</v>
      </c>
    </row>
    <row r="41" ht="12.75" customHeight="1">
      <c r="A41" s="119" t="s">
        <v>269</v>
      </c>
      <c r="B41" s="120" t="s">
        <v>270</v>
      </c>
    </row>
    <row r="42" ht="12.75" customHeight="1">
      <c r="A42" s="117" t="s">
        <v>271</v>
      </c>
      <c r="B42" s="118" t="s">
        <v>272</v>
      </c>
    </row>
    <row r="43" ht="12.75" customHeight="1">
      <c r="A43" s="119" t="s">
        <v>273</v>
      </c>
      <c r="B43" s="120" t="s">
        <v>274</v>
      </c>
    </row>
    <row r="44" ht="12.75" customHeight="1">
      <c r="A44" s="117" t="s">
        <v>275</v>
      </c>
      <c r="B44" s="118" t="s">
        <v>276</v>
      </c>
    </row>
    <row r="45" ht="12.75" customHeight="1">
      <c r="A45" s="117" t="s">
        <v>277</v>
      </c>
      <c r="B45" s="120" t="s">
        <v>64</v>
      </c>
    </row>
    <row r="46" ht="12.75" customHeight="1">
      <c r="A46" s="117" t="s">
        <v>278</v>
      </c>
      <c r="B46" s="118" t="s">
        <v>279</v>
      </c>
    </row>
    <row r="47" ht="12.75" customHeight="1"/>
    <row r="48" ht="12.75" customHeight="1"/>
    <row r="49" ht="12.75" customHeight="1">
      <c r="A49" s="1" t="s">
        <v>280</v>
      </c>
    </row>
    <row r="50" ht="106.5" customHeight="1">
      <c r="A50" s="122" t="s">
        <v>281</v>
      </c>
    </row>
    <row r="51" ht="12.75" customHeight="1">
      <c r="A51" s="124"/>
      <c r="B51" s="124"/>
      <c r="C51" s="124"/>
    </row>
    <row r="52" ht="112.5" customHeight="1">
      <c r="A52" s="2" t="s">
        <v>282</v>
      </c>
    </row>
    <row r="53" ht="12.75" customHeight="1">
      <c r="A53" s="12" t="s">
        <v>283</v>
      </c>
    </row>
    <row r="54" ht="12.75" customHeight="1">
      <c r="A54" s="13"/>
    </row>
    <row r="55" ht="29.25" customHeight="1">
      <c r="A55" s="14" t="s">
        <v>284</v>
      </c>
      <c r="B55" s="15"/>
      <c r="C55" s="15"/>
      <c r="D55" s="15"/>
      <c r="E55" s="16"/>
    </row>
    <row r="56" ht="34.5" customHeight="1">
      <c r="A56" s="14" t="s">
        <v>285</v>
      </c>
      <c r="B56" s="15"/>
      <c r="C56" s="15"/>
      <c r="D56" s="15"/>
      <c r="E56" s="16"/>
    </row>
    <row r="57" ht="12.75" customHeight="1">
      <c r="A57" s="17" t="s">
        <v>286</v>
      </c>
      <c r="B57" s="15"/>
      <c r="C57" s="15"/>
      <c r="D57" s="16"/>
      <c r="E57" s="18"/>
    </row>
    <row r="58" ht="12.75" customHeight="1">
      <c r="A58" s="19" t="s">
        <v>21</v>
      </c>
      <c r="B58" s="19"/>
      <c r="C58" s="19"/>
      <c r="D58" s="19"/>
      <c r="E58" s="18"/>
    </row>
    <row r="59" ht="12.75" customHeight="1">
      <c r="A59" s="20" t="s">
        <v>287</v>
      </c>
      <c r="B59" s="15"/>
      <c r="C59" s="15"/>
      <c r="D59" s="16"/>
      <c r="E59" s="18"/>
    </row>
    <row r="60" ht="16.5" customHeight="1">
      <c r="A60" s="20" t="s">
        <v>288</v>
      </c>
      <c r="B60" s="15"/>
      <c r="C60" s="15"/>
      <c r="D60" s="16"/>
      <c r="E60" s="18"/>
    </row>
    <row r="61" ht="30.75" customHeight="1">
      <c r="A61" s="20" t="s">
        <v>289</v>
      </c>
      <c r="B61" s="15"/>
      <c r="C61" s="15"/>
      <c r="D61" s="16"/>
      <c r="E61" s="18"/>
    </row>
    <row r="62" ht="12.75" customHeight="1">
      <c r="A62" s="21" t="s">
        <v>290</v>
      </c>
      <c r="B62" s="15"/>
      <c r="C62" s="15"/>
      <c r="D62" s="15"/>
      <c r="E62" s="16"/>
    </row>
    <row r="63" ht="45.0" customHeight="1">
      <c r="A63" s="14" t="s">
        <v>291</v>
      </c>
      <c r="B63" s="15"/>
      <c r="C63" s="15"/>
      <c r="D63" s="15"/>
      <c r="E63" s="16"/>
    </row>
    <row r="64" ht="12.75" customHeight="1">
      <c r="A64" s="22"/>
      <c r="B64" s="22"/>
      <c r="C64" s="22"/>
      <c r="D64" s="22"/>
      <c r="E64" s="22"/>
    </row>
    <row r="65" ht="12.75" customHeight="1">
      <c r="A65" s="23" t="s">
        <v>292</v>
      </c>
      <c r="B65" s="15"/>
      <c r="C65" s="15"/>
      <c r="D65" s="15"/>
      <c r="E65" s="16"/>
    </row>
    <row r="66" ht="12.75" customHeight="1">
      <c r="A66" s="24"/>
      <c r="B66" s="24"/>
      <c r="C66" s="24"/>
      <c r="D66" s="24"/>
      <c r="E66" s="24"/>
    </row>
    <row r="67" ht="12.75" customHeight="1">
      <c r="A67" s="25"/>
      <c r="B67" s="26"/>
      <c r="C67" s="25"/>
      <c r="D67" s="25"/>
      <c r="E67" s="18"/>
    </row>
    <row r="68" ht="12.75" customHeight="1">
      <c r="A68" s="27" t="s">
        <v>28</v>
      </c>
      <c r="B68" s="28"/>
      <c r="C68" s="29" t="s">
        <v>293</v>
      </c>
      <c r="D68" s="16"/>
      <c r="E68" s="18"/>
    </row>
    <row r="69" ht="12.75" customHeight="1">
      <c r="A69" s="30"/>
      <c r="B69" s="28"/>
      <c r="C69" s="30"/>
      <c r="D69" s="18"/>
      <c r="E69" s="18"/>
    </row>
    <row r="70" ht="12.75" customHeight="1">
      <c r="A70" s="30"/>
      <c r="B70" s="28"/>
      <c r="C70" s="30"/>
      <c r="D70" s="18"/>
      <c r="E70" s="18"/>
    </row>
    <row r="71" ht="12.75" customHeight="1">
      <c r="A71" s="34" t="s">
        <v>30</v>
      </c>
      <c r="B71" s="32"/>
      <c r="C71" s="94"/>
      <c r="D71" s="32"/>
      <c r="E71" s="32"/>
    </row>
    <row r="72" ht="12.75" customHeight="1">
      <c r="A72" s="18"/>
      <c r="B72" s="18"/>
      <c r="C72" s="18"/>
      <c r="D72" s="18"/>
      <c r="E72" s="18"/>
    </row>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5">
    <mergeCell ref="C10:C13"/>
    <mergeCell ref="C15:C17"/>
    <mergeCell ref="B1:C1"/>
    <mergeCell ref="B3:C3"/>
    <mergeCell ref="B4:C4"/>
    <mergeCell ref="B5:C5"/>
    <mergeCell ref="C7:C8"/>
    <mergeCell ref="A9:C9"/>
    <mergeCell ref="A14:C14"/>
    <mergeCell ref="A19:C19"/>
    <mergeCell ref="A20:C20"/>
    <mergeCell ref="A21:C21"/>
    <mergeCell ref="A22:C22"/>
    <mergeCell ref="A23:C23"/>
    <mergeCell ref="A24:C24"/>
    <mergeCell ref="A27:B27"/>
    <mergeCell ref="A32:B32"/>
    <mergeCell ref="A33:B34"/>
    <mergeCell ref="A36:A37"/>
    <mergeCell ref="B36:B37"/>
    <mergeCell ref="A49:C49"/>
    <mergeCell ref="A50:B50"/>
    <mergeCell ref="A52:B52"/>
    <mergeCell ref="A61:D61"/>
    <mergeCell ref="A62:E62"/>
    <mergeCell ref="A63:E63"/>
    <mergeCell ref="A65:E65"/>
    <mergeCell ref="C68:D68"/>
    <mergeCell ref="A53:E53"/>
    <mergeCell ref="A54:E54"/>
    <mergeCell ref="A55:E55"/>
    <mergeCell ref="A56:E56"/>
    <mergeCell ref="A57:D57"/>
    <mergeCell ref="A59:D59"/>
    <mergeCell ref="A60:D60"/>
  </mergeCells>
  <printOptions/>
  <pageMargins bottom="0.75" footer="0.0" header="0.0" left="0.7" right="0.7" top="2.17"/>
  <pageSetup orientation="portrait"/>
  <rowBreaks count="2" manualBreakCount="2">
    <brk id="52" man="1"/>
    <brk id="25"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86"/>
    <col customWidth="1" min="2" max="2" width="17.71"/>
    <col customWidth="1" min="3" max="3" width="22.71"/>
    <col customWidth="1" min="4" max="26" width="10.71"/>
  </cols>
  <sheetData>
    <row r="1" ht="12.75" customHeight="1"/>
    <row r="2" ht="12.75" customHeight="1">
      <c r="A2" s="1" t="s">
        <v>83</v>
      </c>
      <c r="B2" s="1" t="s">
        <v>84</v>
      </c>
    </row>
    <row r="3" ht="15.0" customHeight="1">
      <c r="A3" s="2" t="s">
        <v>294</v>
      </c>
      <c r="B3" s="3"/>
    </row>
    <row r="4" ht="21.0" customHeight="1">
      <c r="A4" s="6" t="s">
        <v>295</v>
      </c>
      <c r="B4" s="3"/>
    </row>
    <row r="5" ht="15.0" customHeight="1">
      <c r="A5" s="4" t="s">
        <v>296</v>
      </c>
      <c r="B5" s="5"/>
      <c r="C5" s="5"/>
    </row>
    <row r="6" ht="30.0" customHeight="1">
      <c r="A6" s="2" t="s">
        <v>297</v>
      </c>
      <c r="B6" s="7">
        <v>11000.0</v>
      </c>
      <c r="C6" s="150">
        <v>15000.0</v>
      </c>
    </row>
    <row r="7" ht="22.5" customHeight="1">
      <c r="A7" s="6" t="s">
        <v>298</v>
      </c>
      <c r="B7" s="151" t="s">
        <v>299</v>
      </c>
      <c r="C7" s="152"/>
    </row>
    <row r="8" ht="12.75" customHeight="1">
      <c r="A8" s="102" t="s">
        <v>300</v>
      </c>
      <c r="B8" s="15"/>
      <c r="C8" s="16"/>
    </row>
    <row r="9" ht="12.75" customHeight="1">
      <c r="A9" s="6" t="s">
        <v>248</v>
      </c>
      <c r="B9" s="6"/>
      <c r="C9" s="99">
        <v>6600.0</v>
      </c>
    </row>
    <row r="10" ht="12.75" customHeight="1">
      <c r="A10" s="6" t="s">
        <v>301</v>
      </c>
      <c r="B10" s="6"/>
    </row>
    <row r="11" ht="12.75" customHeight="1">
      <c r="A11" s="146" t="s">
        <v>302</v>
      </c>
      <c r="B11" s="2"/>
    </row>
    <row r="12" ht="12.75" customHeight="1">
      <c r="A12" s="6" t="s">
        <v>303</v>
      </c>
      <c r="B12" s="6"/>
    </row>
    <row r="13" ht="12.75" customHeight="1">
      <c r="A13" s="102" t="s">
        <v>304</v>
      </c>
      <c r="B13" s="15"/>
      <c r="C13" s="16"/>
    </row>
    <row r="14" ht="12.75" customHeight="1">
      <c r="A14" s="6" t="s">
        <v>305</v>
      </c>
      <c r="B14" s="6"/>
      <c r="C14" s="99">
        <v>4250.0</v>
      </c>
    </row>
    <row r="15" ht="12.75" customHeight="1">
      <c r="A15" s="6" t="s">
        <v>43</v>
      </c>
      <c r="B15" s="2"/>
    </row>
    <row r="16" ht="12.75" customHeight="1">
      <c r="A16" s="6" t="s">
        <v>306</v>
      </c>
      <c r="B16" s="6"/>
    </row>
    <row r="17" ht="12.75" customHeight="1">
      <c r="A17" s="1"/>
      <c r="B17" s="10" t="s">
        <v>9</v>
      </c>
      <c r="C17" s="131">
        <f>SUM(C6,C9,C14)</f>
        <v>25850</v>
      </c>
    </row>
    <row r="18" ht="12.75" customHeight="1">
      <c r="A18" s="1" t="s">
        <v>307</v>
      </c>
    </row>
    <row r="19" ht="12.75" customHeight="1">
      <c r="A19" s="6" t="s">
        <v>308</v>
      </c>
    </row>
    <row r="20" ht="12.75" customHeight="1">
      <c r="A20" s="6" t="s">
        <v>309</v>
      </c>
    </row>
    <row r="21" ht="12.75" customHeight="1">
      <c r="A21" s="6" t="s">
        <v>310</v>
      </c>
    </row>
    <row r="22" ht="12.75" customHeight="1">
      <c r="A22" s="2" t="s">
        <v>311</v>
      </c>
    </row>
    <row r="23" ht="12.75" customHeight="1">
      <c r="A23" s="1" t="s">
        <v>312</v>
      </c>
    </row>
    <row r="24" ht="12.75" customHeight="1"/>
    <row r="25" ht="12.75" customHeight="1"/>
    <row r="26" ht="12.75" customHeight="1"/>
    <row r="27" ht="12.75" customHeight="1">
      <c r="A27" s="108" t="s">
        <v>313</v>
      </c>
      <c r="B27" s="109"/>
    </row>
    <row r="28" ht="12.75" customHeight="1">
      <c r="A28" s="110" t="s">
        <v>101</v>
      </c>
      <c r="B28" s="111">
        <v>3000.0</v>
      </c>
    </row>
    <row r="29" ht="12.75" customHeight="1">
      <c r="A29" s="110" t="s">
        <v>314</v>
      </c>
      <c r="B29" s="112" t="s">
        <v>315</v>
      </c>
    </row>
    <row r="30" ht="12.75" customHeight="1">
      <c r="A30" s="113"/>
      <c r="B30" s="114"/>
    </row>
    <row r="31" ht="12.75" customHeight="1">
      <c r="A31" s="113"/>
      <c r="B31" s="114"/>
    </row>
    <row r="32" ht="12.75" customHeight="1">
      <c r="A32" s="12" t="s">
        <v>316</v>
      </c>
    </row>
    <row r="33" ht="12.75" customHeight="1">
      <c r="A33" s="135" t="s">
        <v>317</v>
      </c>
      <c r="B33" s="136"/>
    </row>
    <row r="34" ht="12.75" customHeight="1">
      <c r="A34" s="137"/>
      <c r="B34" s="90"/>
    </row>
    <row r="35" ht="12.75" customHeight="1">
      <c r="A35" s="138"/>
      <c r="B35" s="138"/>
    </row>
    <row r="36" ht="12.75" customHeight="1">
      <c r="A36" s="116" t="s">
        <v>47</v>
      </c>
      <c r="B36" s="116" t="s">
        <v>48</v>
      </c>
    </row>
    <row r="37" ht="12.75" customHeight="1">
      <c r="A37" s="65"/>
      <c r="B37" s="65"/>
    </row>
    <row r="38" ht="12.75" customHeight="1">
      <c r="A38" s="117" t="s">
        <v>318</v>
      </c>
      <c r="B38" s="118" t="s">
        <v>319</v>
      </c>
    </row>
    <row r="39" ht="12.75" customHeight="1">
      <c r="A39" s="117" t="s">
        <v>320</v>
      </c>
      <c r="B39" s="118" t="s">
        <v>321</v>
      </c>
    </row>
    <row r="40" ht="12.75" customHeight="1">
      <c r="A40" s="117" t="s">
        <v>322</v>
      </c>
      <c r="B40" s="118" t="s">
        <v>54</v>
      </c>
    </row>
    <row r="41" ht="12.75" customHeight="1">
      <c r="A41" s="119" t="s">
        <v>323</v>
      </c>
      <c r="B41" s="120" t="s">
        <v>324</v>
      </c>
    </row>
    <row r="42" ht="12.75" customHeight="1">
      <c r="A42" s="117" t="s">
        <v>325</v>
      </c>
      <c r="B42" s="118" t="s">
        <v>326</v>
      </c>
    </row>
    <row r="43" ht="12.75" customHeight="1">
      <c r="A43" s="119" t="s">
        <v>327</v>
      </c>
      <c r="B43" s="120" t="s">
        <v>328</v>
      </c>
    </row>
    <row r="44" ht="12.75" customHeight="1">
      <c r="A44" s="117" t="s">
        <v>329</v>
      </c>
      <c r="B44" s="118" t="s">
        <v>330</v>
      </c>
    </row>
    <row r="45" ht="12.75" customHeight="1">
      <c r="A45" s="117" t="s">
        <v>331</v>
      </c>
      <c r="B45" s="120" t="s">
        <v>64</v>
      </c>
    </row>
    <row r="46" ht="12.75" customHeight="1">
      <c r="A46" s="117" t="s">
        <v>332</v>
      </c>
      <c r="B46" s="118" t="s">
        <v>333</v>
      </c>
    </row>
    <row r="47" ht="12.75" customHeight="1"/>
    <row r="48" ht="12.75" customHeight="1"/>
    <row r="49" ht="12.75" customHeight="1">
      <c r="A49" s="1" t="s">
        <v>334</v>
      </c>
    </row>
    <row r="50" ht="124.5" customHeight="1">
      <c r="A50" s="122" t="s">
        <v>335</v>
      </c>
    </row>
    <row r="51" ht="157.5" customHeight="1">
      <c r="A51" s="122" t="s">
        <v>336</v>
      </c>
      <c r="C51" s="124"/>
    </row>
    <row r="52" ht="115.5" customHeight="1">
      <c r="A52" s="2" t="s">
        <v>337</v>
      </c>
    </row>
    <row r="53" ht="12.75" customHeight="1">
      <c r="A53" s="12" t="s">
        <v>338</v>
      </c>
    </row>
    <row r="54" ht="12.75" customHeight="1">
      <c r="A54" s="13"/>
    </row>
    <row r="55" ht="28.5" customHeight="1">
      <c r="A55" s="14" t="s">
        <v>339</v>
      </c>
      <c r="B55" s="15"/>
      <c r="C55" s="15"/>
      <c r="D55" s="15"/>
      <c r="E55" s="16"/>
    </row>
    <row r="56" ht="12.75" customHeight="1">
      <c r="A56" s="14" t="s">
        <v>340</v>
      </c>
      <c r="B56" s="15"/>
      <c r="C56" s="15"/>
      <c r="D56" s="15"/>
      <c r="E56" s="16"/>
    </row>
    <row r="57" ht="12.75" customHeight="1">
      <c r="A57" s="17" t="s">
        <v>341</v>
      </c>
      <c r="B57" s="15"/>
      <c r="C57" s="15"/>
      <c r="D57" s="16"/>
      <c r="E57" s="18"/>
    </row>
    <row r="58" ht="12.75" customHeight="1">
      <c r="A58" s="19" t="s">
        <v>21</v>
      </c>
      <c r="B58" s="19"/>
      <c r="C58" s="19"/>
      <c r="D58" s="19"/>
      <c r="E58" s="18"/>
    </row>
    <row r="59" ht="18.0" customHeight="1">
      <c r="A59" s="20" t="s">
        <v>342</v>
      </c>
      <c r="B59" s="15"/>
      <c r="C59" s="15"/>
      <c r="D59" s="16"/>
      <c r="E59" s="18"/>
    </row>
    <row r="60" ht="13.5" customHeight="1">
      <c r="A60" s="20" t="s">
        <v>343</v>
      </c>
      <c r="B60" s="15"/>
      <c r="C60" s="15"/>
      <c r="D60" s="16"/>
      <c r="E60" s="18"/>
    </row>
    <row r="61" ht="30.75" customHeight="1">
      <c r="A61" s="20" t="s">
        <v>344</v>
      </c>
      <c r="B61" s="15"/>
      <c r="C61" s="15"/>
      <c r="D61" s="16"/>
      <c r="E61" s="18"/>
    </row>
    <row r="62" ht="12.75" customHeight="1">
      <c r="A62" s="21" t="s">
        <v>345</v>
      </c>
      <c r="B62" s="15"/>
      <c r="C62" s="15"/>
      <c r="D62" s="15"/>
      <c r="E62" s="16"/>
    </row>
    <row r="63" ht="24.75" customHeight="1">
      <c r="A63" s="14" t="s">
        <v>346</v>
      </c>
      <c r="B63" s="15"/>
      <c r="C63" s="15"/>
      <c r="D63" s="15"/>
      <c r="E63" s="16"/>
    </row>
    <row r="64" ht="12.75" customHeight="1">
      <c r="A64" s="22"/>
      <c r="B64" s="22"/>
      <c r="C64" s="22"/>
      <c r="D64" s="22"/>
      <c r="E64" s="22"/>
    </row>
    <row r="65" ht="12.75" customHeight="1">
      <c r="A65" s="23" t="s">
        <v>347</v>
      </c>
      <c r="B65" s="15"/>
      <c r="C65" s="15"/>
      <c r="D65" s="15"/>
      <c r="E65" s="16"/>
    </row>
    <row r="66" ht="12.75" customHeight="1">
      <c r="A66" s="24"/>
      <c r="B66" s="24"/>
      <c r="C66" s="24"/>
      <c r="D66" s="24"/>
      <c r="E66" s="24"/>
    </row>
    <row r="67" ht="12.75" customHeight="1">
      <c r="A67" s="25"/>
      <c r="B67" s="26"/>
      <c r="C67" s="25"/>
      <c r="D67" s="25"/>
      <c r="E67" s="18"/>
    </row>
    <row r="68" ht="30.0" customHeight="1">
      <c r="A68" s="27" t="s">
        <v>348</v>
      </c>
      <c r="B68" s="28"/>
      <c r="C68" s="29" t="s">
        <v>349</v>
      </c>
      <c r="D68" s="16"/>
      <c r="E68" s="18"/>
    </row>
    <row r="69" ht="12.75" customHeight="1">
      <c r="A69" s="30"/>
      <c r="B69" s="28"/>
      <c r="C69" s="30"/>
      <c r="D69" s="18"/>
      <c r="E69" s="18"/>
    </row>
    <row r="70" ht="12.75" customHeight="1">
      <c r="A70" s="30"/>
      <c r="B70" s="28"/>
      <c r="C70" s="30"/>
      <c r="D70" s="18"/>
      <c r="E70" s="18"/>
    </row>
    <row r="71" ht="12.75" customHeight="1">
      <c r="A71" s="34" t="s">
        <v>136</v>
      </c>
      <c r="B71" s="32"/>
      <c r="C71" s="94"/>
      <c r="D71" s="32"/>
      <c r="E71" s="32"/>
    </row>
    <row r="72" ht="12.75" customHeight="1">
      <c r="A72" s="18"/>
      <c r="B72" s="18"/>
      <c r="C72" s="18"/>
      <c r="D72" s="18"/>
      <c r="E72" s="18"/>
    </row>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
    <mergeCell ref="B2:C2"/>
    <mergeCell ref="B3:C3"/>
    <mergeCell ref="B4:C4"/>
    <mergeCell ref="A8:C8"/>
    <mergeCell ref="C9:C12"/>
    <mergeCell ref="A13:C13"/>
    <mergeCell ref="C14:C16"/>
    <mergeCell ref="A18:C18"/>
    <mergeCell ref="A19:C19"/>
    <mergeCell ref="A20:C20"/>
    <mergeCell ref="A21:C21"/>
    <mergeCell ref="A22:C22"/>
    <mergeCell ref="A23:C23"/>
    <mergeCell ref="A27:B27"/>
    <mergeCell ref="A32:B32"/>
    <mergeCell ref="A33:B34"/>
    <mergeCell ref="A36:A37"/>
    <mergeCell ref="B36:B37"/>
    <mergeCell ref="A49:C49"/>
    <mergeCell ref="A50:B50"/>
    <mergeCell ref="A51:B51"/>
    <mergeCell ref="A60:D60"/>
    <mergeCell ref="A61:D61"/>
    <mergeCell ref="A62:E62"/>
    <mergeCell ref="A63:E63"/>
    <mergeCell ref="A65:E65"/>
    <mergeCell ref="C68:D68"/>
    <mergeCell ref="A52:B52"/>
    <mergeCell ref="A53:E53"/>
    <mergeCell ref="A54:E54"/>
    <mergeCell ref="A55:E55"/>
    <mergeCell ref="A56:E56"/>
    <mergeCell ref="A57:D57"/>
    <mergeCell ref="A59:D5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4"/>
    <col customWidth="1" min="2" max="2" width="27.71"/>
    <col customWidth="1" min="3" max="3" width="19.14"/>
    <col customWidth="1" min="4" max="26" width="10.71"/>
  </cols>
  <sheetData>
    <row r="1" ht="12.75" customHeight="1"/>
    <row r="2" ht="12.75" customHeight="1">
      <c r="A2" s="95" t="s">
        <v>350</v>
      </c>
      <c r="B2" s="95" t="s">
        <v>351</v>
      </c>
      <c r="C2" s="96"/>
    </row>
    <row r="3" ht="11.25" customHeight="1">
      <c r="A3" s="2" t="s">
        <v>352</v>
      </c>
      <c r="B3" s="3"/>
    </row>
    <row r="4" ht="15.75" customHeight="1">
      <c r="A4" s="6" t="s">
        <v>353</v>
      </c>
      <c r="B4" s="3"/>
    </row>
    <row r="5" ht="15.0" customHeight="1">
      <c r="A5" s="4" t="s">
        <v>354</v>
      </c>
      <c r="B5" s="5"/>
      <c r="C5" s="5"/>
    </row>
    <row r="6" ht="24.0" customHeight="1">
      <c r="A6" s="6" t="s">
        <v>355</v>
      </c>
      <c r="B6" s="7">
        <v>15500.0</v>
      </c>
      <c r="C6" s="8">
        <f>SUM(B6,B7)</f>
        <v>19500</v>
      </c>
    </row>
    <row r="7" ht="16.5" customHeight="1">
      <c r="A7" s="1" t="s">
        <v>8</v>
      </c>
      <c r="B7" s="9">
        <v>4000.0</v>
      </c>
    </row>
    <row r="8" ht="16.5" customHeight="1">
      <c r="A8" s="4" t="s">
        <v>356</v>
      </c>
      <c r="B8" s="97"/>
      <c r="C8" s="98"/>
    </row>
    <row r="9" ht="16.5" customHeight="1">
      <c r="A9" s="6" t="s">
        <v>357</v>
      </c>
      <c r="B9" s="9">
        <v>1000.0</v>
      </c>
      <c r="C9" s="100">
        <f>SUM(B9,B10)</f>
        <v>4000</v>
      </c>
    </row>
    <row r="10" ht="16.5" customHeight="1">
      <c r="A10" s="1" t="s">
        <v>8</v>
      </c>
      <c r="B10" s="9">
        <v>3000.0</v>
      </c>
    </row>
    <row r="11" ht="12.75" customHeight="1">
      <c r="A11" s="102" t="s">
        <v>358</v>
      </c>
      <c r="B11" s="15"/>
      <c r="C11" s="16"/>
    </row>
    <row r="12" ht="16.5" customHeight="1">
      <c r="A12" s="6" t="s">
        <v>6</v>
      </c>
      <c r="B12" s="6"/>
      <c r="C12" s="100">
        <v>6200.0</v>
      </c>
    </row>
    <row r="13" ht="18.75" customHeight="1">
      <c r="A13" s="6" t="s">
        <v>38</v>
      </c>
      <c r="B13" s="6"/>
    </row>
    <row r="14" ht="15.0" customHeight="1">
      <c r="A14" s="146" t="s">
        <v>39</v>
      </c>
      <c r="B14" s="2"/>
    </row>
    <row r="15" ht="15.75" customHeight="1">
      <c r="A15" s="6"/>
      <c r="B15" s="6"/>
    </row>
    <row r="16" ht="12.75" customHeight="1">
      <c r="A16" s="102" t="s">
        <v>359</v>
      </c>
      <c r="B16" s="15"/>
      <c r="C16" s="16"/>
    </row>
    <row r="17" ht="12.75" customHeight="1">
      <c r="A17" s="1" t="s">
        <v>8</v>
      </c>
      <c r="B17" s="104">
        <v>800.0</v>
      </c>
      <c r="C17" s="99">
        <f>SUM(B17,B18)</f>
        <v>4250</v>
      </c>
    </row>
    <row r="18" ht="12.75" customHeight="1">
      <c r="A18" s="6" t="s">
        <v>360</v>
      </c>
      <c r="B18" s="105">
        <v>3450.0</v>
      </c>
    </row>
    <row r="19" ht="13.5" customHeight="1">
      <c r="A19" s="6" t="s">
        <v>43</v>
      </c>
    </row>
    <row r="20" ht="13.5" customHeight="1">
      <c r="A20" s="6" t="s">
        <v>361</v>
      </c>
    </row>
    <row r="21" ht="12.75" customHeight="1">
      <c r="A21" s="1"/>
      <c r="B21" s="10" t="s">
        <v>9</v>
      </c>
      <c r="C21" s="131">
        <f>SUM(C6,C9,C12,C17)</f>
        <v>33950</v>
      </c>
    </row>
    <row r="22" ht="12.75" customHeight="1">
      <c r="A22" s="1" t="s">
        <v>362</v>
      </c>
    </row>
    <row r="23" ht="12.75" customHeight="1">
      <c r="A23" s="1" t="s">
        <v>95</v>
      </c>
      <c r="B23" s="1"/>
      <c r="C23" s="1"/>
    </row>
    <row r="24" ht="12.75" customHeight="1">
      <c r="A24" s="6" t="s">
        <v>363</v>
      </c>
    </row>
    <row r="25" ht="12.75" customHeight="1">
      <c r="A25" s="6" t="s">
        <v>13</v>
      </c>
    </row>
    <row r="26" ht="12.75" customHeight="1">
      <c r="A26" s="6" t="s">
        <v>14</v>
      </c>
    </row>
    <row r="27" ht="12.75" customHeight="1">
      <c r="A27" s="6" t="s">
        <v>364</v>
      </c>
    </row>
    <row r="28" ht="12.75" customHeight="1">
      <c r="A28" s="6" t="s">
        <v>365</v>
      </c>
    </row>
    <row r="29" ht="12.75" customHeight="1">
      <c r="A29" s="1" t="s">
        <v>366</v>
      </c>
    </row>
    <row r="30" ht="12.75" customHeight="1"/>
    <row r="31" ht="12.75" customHeight="1"/>
    <row r="32" ht="12.75" customHeight="1"/>
    <row r="33" ht="12.75" customHeight="1">
      <c r="A33" s="108" t="s">
        <v>367</v>
      </c>
      <c r="B33" s="109"/>
    </row>
    <row r="34" ht="12.75" customHeight="1">
      <c r="A34" s="110" t="s">
        <v>101</v>
      </c>
      <c r="B34" s="111">
        <v>3000.0</v>
      </c>
    </row>
    <row r="35" ht="12.75" customHeight="1">
      <c r="A35" s="110" t="s">
        <v>368</v>
      </c>
      <c r="B35" s="112" t="s">
        <v>369</v>
      </c>
    </row>
    <row r="36" ht="12.75" customHeight="1">
      <c r="A36" s="113"/>
      <c r="B36" s="114"/>
    </row>
    <row r="37" ht="12.75" customHeight="1">
      <c r="A37" s="113"/>
      <c r="B37" s="114"/>
    </row>
    <row r="38" ht="12.75" customHeight="1">
      <c r="A38" s="12" t="s">
        <v>370</v>
      </c>
    </row>
    <row r="39" ht="12.75" customHeight="1">
      <c r="A39" s="135" t="s">
        <v>371</v>
      </c>
      <c r="B39" s="136"/>
    </row>
    <row r="40" ht="12.75" customHeight="1">
      <c r="A40" s="137"/>
      <c r="B40" s="90"/>
    </row>
    <row r="41" ht="12.75" customHeight="1">
      <c r="A41" s="138"/>
      <c r="B41" s="138"/>
    </row>
    <row r="42" ht="12.75" customHeight="1">
      <c r="A42" s="116" t="s">
        <v>47</v>
      </c>
      <c r="B42" s="116" t="s">
        <v>48</v>
      </c>
    </row>
    <row r="43" ht="12.75" customHeight="1">
      <c r="A43" s="65"/>
      <c r="B43" s="65"/>
    </row>
    <row r="44" ht="12.75" customHeight="1">
      <c r="A44" s="117" t="s">
        <v>372</v>
      </c>
      <c r="B44" s="118" t="s">
        <v>373</v>
      </c>
    </row>
    <row r="45" ht="12.75" customHeight="1">
      <c r="A45" s="117" t="s">
        <v>374</v>
      </c>
      <c r="B45" s="118" t="s">
        <v>375</v>
      </c>
    </row>
    <row r="46" ht="12.75" customHeight="1">
      <c r="A46" s="117" t="s">
        <v>376</v>
      </c>
      <c r="B46" s="118" t="s">
        <v>54</v>
      </c>
    </row>
    <row r="47" ht="12.75" customHeight="1">
      <c r="A47" s="119" t="s">
        <v>377</v>
      </c>
      <c r="B47" s="120" t="s">
        <v>378</v>
      </c>
    </row>
    <row r="48" ht="12.75" customHeight="1">
      <c r="A48" s="117" t="s">
        <v>379</v>
      </c>
      <c r="B48" s="118" t="s">
        <v>380</v>
      </c>
    </row>
    <row r="49" ht="12.75" customHeight="1">
      <c r="A49" s="119" t="s">
        <v>381</v>
      </c>
      <c r="B49" s="120" t="s">
        <v>382</v>
      </c>
    </row>
    <row r="50" ht="12.75" customHeight="1">
      <c r="A50" s="117" t="s">
        <v>383</v>
      </c>
      <c r="B50" s="118" t="s">
        <v>384</v>
      </c>
    </row>
    <row r="51" ht="12.75" customHeight="1">
      <c r="A51" s="117" t="s">
        <v>385</v>
      </c>
      <c r="B51" s="120" t="s">
        <v>64</v>
      </c>
    </row>
    <row r="52" ht="12.75" customHeight="1">
      <c r="A52" s="117" t="s">
        <v>386</v>
      </c>
      <c r="B52" s="118" t="s">
        <v>387</v>
      </c>
    </row>
    <row r="53" ht="12.75" customHeight="1"/>
    <row r="54" ht="12.75" customHeight="1"/>
    <row r="55" ht="12.75" customHeight="1">
      <c r="A55" s="1" t="s">
        <v>388</v>
      </c>
    </row>
    <row r="56" ht="132.75" customHeight="1">
      <c r="A56" s="153" t="s">
        <v>389</v>
      </c>
    </row>
    <row r="57" ht="121.5" customHeight="1">
      <c r="A57" s="2" t="s">
        <v>390</v>
      </c>
    </row>
    <row r="58" ht="12.75" customHeight="1">
      <c r="A58" s="12" t="s">
        <v>391</v>
      </c>
    </row>
    <row r="59" ht="12.75" customHeight="1">
      <c r="A59" s="13"/>
    </row>
    <row r="60" ht="24.75" customHeight="1">
      <c r="A60" s="14" t="s">
        <v>392</v>
      </c>
      <c r="B60" s="15"/>
      <c r="C60" s="15"/>
      <c r="D60" s="15"/>
      <c r="E60" s="16"/>
    </row>
    <row r="61" ht="38.25" customHeight="1">
      <c r="A61" s="14" t="s">
        <v>393</v>
      </c>
      <c r="B61" s="15"/>
      <c r="C61" s="15"/>
      <c r="D61" s="15"/>
      <c r="E61" s="16"/>
    </row>
    <row r="62" ht="12.75" customHeight="1">
      <c r="A62" s="17" t="s">
        <v>394</v>
      </c>
      <c r="B62" s="15"/>
      <c r="C62" s="15"/>
      <c r="D62" s="16"/>
      <c r="E62" s="18"/>
    </row>
    <row r="63" ht="12.75" customHeight="1">
      <c r="A63" s="19" t="s">
        <v>21</v>
      </c>
      <c r="B63" s="19"/>
      <c r="C63" s="19"/>
      <c r="D63" s="19"/>
      <c r="E63" s="18"/>
    </row>
    <row r="64" ht="12.75" customHeight="1">
      <c r="A64" s="20" t="s">
        <v>395</v>
      </c>
      <c r="B64" s="15"/>
      <c r="C64" s="15"/>
      <c r="D64" s="16"/>
      <c r="E64" s="18"/>
    </row>
    <row r="65" ht="15.75" customHeight="1">
      <c r="A65" s="20" t="s">
        <v>396</v>
      </c>
      <c r="B65" s="15"/>
      <c r="C65" s="15"/>
      <c r="D65" s="16"/>
      <c r="E65" s="18"/>
    </row>
    <row r="66" ht="33.75" customHeight="1">
      <c r="A66" s="20" t="s">
        <v>397</v>
      </c>
      <c r="B66" s="15"/>
      <c r="C66" s="15"/>
      <c r="D66" s="16"/>
      <c r="E66" s="18"/>
    </row>
    <row r="67" ht="12.75" customHeight="1">
      <c r="A67" s="21" t="s">
        <v>398</v>
      </c>
      <c r="B67" s="15"/>
      <c r="C67" s="15"/>
      <c r="D67" s="15"/>
      <c r="E67" s="16"/>
    </row>
    <row r="68" ht="22.5" customHeight="1">
      <c r="A68" s="14" t="s">
        <v>399</v>
      </c>
      <c r="B68" s="15"/>
      <c r="C68" s="15"/>
      <c r="D68" s="15"/>
      <c r="E68" s="16"/>
    </row>
    <row r="69" ht="12.75" customHeight="1">
      <c r="A69" s="22"/>
      <c r="B69" s="22"/>
      <c r="C69" s="22"/>
      <c r="D69" s="22"/>
      <c r="E69" s="22"/>
    </row>
    <row r="70" ht="12.75" customHeight="1">
      <c r="A70" s="23" t="s">
        <v>400</v>
      </c>
      <c r="B70" s="15"/>
      <c r="C70" s="15"/>
      <c r="D70" s="15"/>
      <c r="E70" s="16"/>
    </row>
    <row r="71" ht="12.75" customHeight="1">
      <c r="A71" s="24"/>
      <c r="B71" s="24"/>
      <c r="C71" s="24"/>
      <c r="D71" s="24"/>
      <c r="E71" s="24"/>
    </row>
    <row r="72" ht="12.75" customHeight="1">
      <c r="A72" s="25"/>
      <c r="B72" s="26"/>
      <c r="C72" s="25"/>
      <c r="D72" s="25"/>
      <c r="E72" s="18"/>
    </row>
    <row r="73" ht="12.75" customHeight="1">
      <c r="A73" s="27" t="s">
        <v>28</v>
      </c>
      <c r="B73" s="28"/>
      <c r="C73" s="29" t="s">
        <v>401</v>
      </c>
      <c r="D73" s="16"/>
      <c r="E73" s="18"/>
    </row>
    <row r="74" ht="12.75" customHeight="1">
      <c r="A74" s="30"/>
      <c r="B74" s="28"/>
      <c r="C74" s="30"/>
      <c r="D74" s="18"/>
      <c r="E74" s="18"/>
    </row>
    <row r="75" ht="12.75" customHeight="1">
      <c r="A75" s="30"/>
      <c r="B75" s="28"/>
      <c r="C75" s="30"/>
      <c r="D75" s="18"/>
      <c r="E75" s="18"/>
    </row>
    <row r="76" ht="12.75" customHeight="1">
      <c r="A76" s="34" t="s">
        <v>402</v>
      </c>
      <c r="B76" s="32"/>
      <c r="C76" s="94"/>
      <c r="D76" s="32"/>
      <c r="E76" s="32"/>
    </row>
    <row r="77" ht="12.75" customHeight="1">
      <c r="A77" s="18"/>
      <c r="B77" s="18"/>
      <c r="C77" s="18"/>
      <c r="D77" s="18"/>
      <c r="E77" s="18"/>
    </row>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37">
    <mergeCell ref="B2:C2"/>
    <mergeCell ref="B3:C3"/>
    <mergeCell ref="B4:C4"/>
    <mergeCell ref="C6:C7"/>
    <mergeCell ref="C9:C10"/>
    <mergeCell ref="A11:C11"/>
    <mergeCell ref="A16:C16"/>
    <mergeCell ref="C12:C15"/>
    <mergeCell ref="C17:C20"/>
    <mergeCell ref="B18:B20"/>
    <mergeCell ref="A22:C22"/>
    <mergeCell ref="A24:C24"/>
    <mergeCell ref="A25:C25"/>
    <mergeCell ref="A26:C26"/>
    <mergeCell ref="A27:C27"/>
    <mergeCell ref="A28:C28"/>
    <mergeCell ref="A29:C29"/>
    <mergeCell ref="A33:B33"/>
    <mergeCell ref="A38:B38"/>
    <mergeCell ref="A39:B40"/>
    <mergeCell ref="A42:A43"/>
    <mergeCell ref="B42:B43"/>
    <mergeCell ref="A55:C55"/>
    <mergeCell ref="A56:B56"/>
    <mergeCell ref="A57:B57"/>
    <mergeCell ref="A58:E58"/>
    <mergeCell ref="A59:E59"/>
    <mergeCell ref="A60:E60"/>
    <mergeCell ref="A70:E70"/>
    <mergeCell ref="C73:D73"/>
    <mergeCell ref="A61:E61"/>
    <mergeCell ref="A62:D62"/>
    <mergeCell ref="A64:D64"/>
    <mergeCell ref="A65:D65"/>
    <mergeCell ref="A66:D66"/>
    <mergeCell ref="A67:E67"/>
    <mergeCell ref="A68:E68"/>
  </mergeCells>
  <printOptions/>
  <pageMargins bottom="0.75" footer="0.0" header="0.0" left="0.7" right="0.7" top="2.06"/>
  <pageSetup orientation="portrait"/>
  <rowBreaks count="2" manualBreakCount="2">
    <brk id="57" man="1"/>
    <brk id="30"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29"/>
    <col customWidth="1" min="2" max="2" width="14.29"/>
    <col customWidth="1" min="3" max="3" width="15.86"/>
    <col customWidth="1" min="4" max="26" width="10.71"/>
  </cols>
  <sheetData>
    <row r="1" ht="12.75" customHeight="1"/>
    <row r="2" ht="12.75" customHeight="1">
      <c r="A2" s="95" t="s">
        <v>83</v>
      </c>
      <c r="B2" s="95" t="s">
        <v>84</v>
      </c>
      <c r="C2" s="96"/>
    </row>
    <row r="3" ht="16.5" customHeight="1">
      <c r="A3" s="2" t="s">
        <v>403</v>
      </c>
      <c r="B3" s="3"/>
    </row>
    <row r="4" ht="20.25" customHeight="1">
      <c r="A4" s="1" t="s">
        <v>404</v>
      </c>
      <c r="B4" s="3"/>
    </row>
    <row r="5" ht="13.5" customHeight="1">
      <c r="A5" s="4" t="s">
        <v>405</v>
      </c>
      <c r="B5" s="5"/>
      <c r="C5" s="5"/>
    </row>
    <row r="6" ht="19.5" customHeight="1">
      <c r="A6" s="126" t="s">
        <v>406</v>
      </c>
      <c r="B6" s="7"/>
      <c r="C6" s="8">
        <v>1900.0</v>
      </c>
    </row>
    <row r="7" ht="13.5" customHeight="1">
      <c r="A7" s="4" t="s">
        <v>407</v>
      </c>
      <c r="B7" s="5"/>
      <c r="C7" s="154"/>
    </row>
    <row r="8" ht="16.5" customHeight="1">
      <c r="A8" s="6" t="s">
        <v>248</v>
      </c>
      <c r="B8" s="7"/>
      <c r="C8" s="8">
        <v>3200.0</v>
      </c>
    </row>
    <row r="9" ht="15.0" customHeight="1">
      <c r="A9" s="6" t="s">
        <v>250</v>
      </c>
      <c r="B9" s="7"/>
    </row>
    <row r="10" ht="13.5" customHeight="1">
      <c r="A10" s="4" t="s">
        <v>90</v>
      </c>
      <c r="B10" s="5"/>
      <c r="C10" s="5"/>
    </row>
    <row r="11" ht="13.5" customHeight="1">
      <c r="A11" s="6" t="s">
        <v>408</v>
      </c>
      <c r="B11" s="155">
        <v>1200.0</v>
      </c>
      <c r="C11" s="156">
        <f>SUM(B11,B12)</f>
        <v>4250</v>
      </c>
    </row>
    <row r="12" ht="13.5" customHeight="1">
      <c r="A12" s="6" t="s">
        <v>409</v>
      </c>
      <c r="B12" s="155">
        <v>3050.0</v>
      </c>
    </row>
    <row r="13" ht="13.5" customHeight="1">
      <c r="A13" s="6" t="s">
        <v>410</v>
      </c>
    </row>
    <row r="14" ht="13.5" customHeight="1">
      <c r="A14" s="6" t="s">
        <v>411</v>
      </c>
      <c r="C14" s="3"/>
    </row>
    <row r="15" ht="12.75" customHeight="1">
      <c r="A15" s="1"/>
      <c r="B15" s="10" t="s">
        <v>9</v>
      </c>
      <c r="C15" s="106">
        <f>SUM(C6,C8,C11)</f>
        <v>9350</v>
      </c>
    </row>
    <row r="16" ht="12.75" customHeight="1">
      <c r="A16" s="1" t="s">
        <v>412</v>
      </c>
    </row>
    <row r="17" ht="14.25" customHeight="1">
      <c r="A17" s="1" t="s">
        <v>413</v>
      </c>
      <c r="B17" s="1"/>
      <c r="C17" s="1"/>
    </row>
    <row r="18" ht="12.75" customHeight="1">
      <c r="A18" s="6" t="s">
        <v>414</v>
      </c>
    </row>
    <row r="19" ht="12.75" customHeight="1">
      <c r="A19" s="6" t="s">
        <v>13</v>
      </c>
    </row>
    <row r="20" ht="12.75" customHeight="1">
      <c r="A20" s="6" t="s">
        <v>415</v>
      </c>
    </row>
    <row r="21" ht="12.75" customHeight="1">
      <c r="A21" s="6" t="s">
        <v>416</v>
      </c>
    </row>
    <row r="22" ht="28.5" customHeight="1">
      <c r="A22" s="1" t="s">
        <v>417</v>
      </c>
    </row>
    <row r="23" ht="12.75" customHeight="1"/>
    <row r="24" ht="12.75" customHeight="1"/>
    <row r="25" ht="12.75" customHeight="1"/>
    <row r="26" ht="12.75" customHeight="1">
      <c r="A26" s="108" t="s">
        <v>418</v>
      </c>
      <c r="B26" s="109"/>
    </row>
    <row r="27" ht="12.75" customHeight="1">
      <c r="A27" s="110" t="s">
        <v>101</v>
      </c>
      <c r="B27" s="111">
        <v>3000.0</v>
      </c>
    </row>
    <row r="28" ht="12.75" customHeight="1">
      <c r="A28" s="110" t="s">
        <v>419</v>
      </c>
      <c r="B28" s="112" t="s">
        <v>420</v>
      </c>
    </row>
    <row r="29" ht="12.75" customHeight="1">
      <c r="A29" s="113"/>
      <c r="B29" s="114"/>
    </row>
    <row r="30" ht="12.75" customHeight="1">
      <c r="A30" s="113"/>
      <c r="B30" s="114"/>
    </row>
    <row r="31" ht="12.75" customHeight="1">
      <c r="A31" s="157" t="s">
        <v>421</v>
      </c>
    </row>
    <row r="32" ht="27.0" customHeight="1">
      <c r="A32" s="158" t="s">
        <v>422</v>
      </c>
      <c r="B32" s="16"/>
    </row>
    <row r="33" ht="12.0" customHeight="1">
      <c r="A33" s="138"/>
      <c r="B33" s="138"/>
    </row>
    <row r="34" ht="12.75" customHeight="1">
      <c r="A34" s="116" t="s">
        <v>47</v>
      </c>
      <c r="B34" s="116" t="s">
        <v>48</v>
      </c>
    </row>
    <row r="35" ht="12.75" customHeight="1">
      <c r="A35" s="65"/>
      <c r="B35" s="65"/>
    </row>
    <row r="36" ht="12.75" customHeight="1">
      <c r="A36" s="117" t="s">
        <v>423</v>
      </c>
      <c r="B36" s="118" t="s">
        <v>424</v>
      </c>
    </row>
    <row r="37" ht="12.75" customHeight="1">
      <c r="A37" s="117" t="s">
        <v>425</v>
      </c>
      <c r="B37" s="118" t="s">
        <v>426</v>
      </c>
    </row>
    <row r="38" ht="12.75" customHeight="1">
      <c r="A38" s="117" t="s">
        <v>427</v>
      </c>
      <c r="B38" s="118" t="s">
        <v>54</v>
      </c>
    </row>
    <row r="39" ht="12.75" customHeight="1">
      <c r="A39" s="119" t="s">
        <v>428</v>
      </c>
      <c r="B39" s="120" t="s">
        <v>429</v>
      </c>
    </row>
    <row r="40" ht="12.75" customHeight="1">
      <c r="A40" s="117" t="s">
        <v>430</v>
      </c>
      <c r="B40" s="118" t="s">
        <v>431</v>
      </c>
    </row>
    <row r="41" ht="12.75" customHeight="1">
      <c r="A41" s="119" t="s">
        <v>432</v>
      </c>
      <c r="B41" s="120" t="s">
        <v>433</v>
      </c>
    </row>
    <row r="42" ht="12.75" customHeight="1">
      <c r="A42" s="117" t="s">
        <v>434</v>
      </c>
      <c r="B42" s="118" t="s">
        <v>435</v>
      </c>
    </row>
    <row r="43" ht="12.75" customHeight="1">
      <c r="A43" s="117" t="s">
        <v>436</v>
      </c>
      <c r="B43" s="120" t="s">
        <v>64</v>
      </c>
    </row>
    <row r="44" ht="12.75" customHeight="1">
      <c r="A44" s="117" t="s">
        <v>437</v>
      </c>
      <c r="B44" s="118" t="s">
        <v>438</v>
      </c>
    </row>
    <row r="45" ht="12.75" customHeight="1"/>
    <row r="46" ht="12.75" customHeight="1"/>
    <row r="47" ht="12.75" customHeight="1">
      <c r="A47" s="1" t="s">
        <v>439</v>
      </c>
    </row>
    <row r="48" ht="12.75" customHeight="1">
      <c r="A48" s="124"/>
      <c r="B48" s="124"/>
      <c r="C48" s="124"/>
    </row>
    <row r="49" ht="138.0" customHeight="1">
      <c r="A49" s="2" t="s">
        <v>440</v>
      </c>
    </row>
    <row r="50" ht="12.75" customHeight="1">
      <c r="A50" s="139" t="s">
        <v>441</v>
      </c>
    </row>
    <row r="51" ht="12.75" customHeight="1">
      <c r="A51" s="13"/>
    </row>
    <row r="52" ht="28.5" customHeight="1">
      <c r="A52" s="14" t="s">
        <v>442</v>
      </c>
      <c r="B52" s="15"/>
      <c r="C52" s="15"/>
      <c r="D52" s="15"/>
      <c r="E52" s="16"/>
    </row>
    <row r="53" ht="31.5" customHeight="1">
      <c r="A53" s="14" t="s">
        <v>443</v>
      </c>
      <c r="B53" s="15"/>
      <c r="C53" s="15"/>
      <c r="D53" s="15"/>
      <c r="E53" s="16"/>
    </row>
    <row r="54" ht="12.75" customHeight="1">
      <c r="A54" s="17" t="s">
        <v>444</v>
      </c>
      <c r="B54" s="15"/>
      <c r="C54" s="15"/>
      <c r="D54" s="16"/>
      <c r="E54" s="18"/>
    </row>
    <row r="55" ht="12.75" customHeight="1">
      <c r="A55" s="19" t="s">
        <v>21</v>
      </c>
      <c r="B55" s="19"/>
      <c r="C55" s="19"/>
      <c r="D55" s="19"/>
      <c r="E55" s="18"/>
    </row>
    <row r="56" ht="25.5" customHeight="1">
      <c r="A56" s="20" t="s">
        <v>445</v>
      </c>
      <c r="B56" s="15"/>
      <c r="C56" s="15"/>
      <c r="D56" s="16"/>
      <c r="E56" s="18"/>
    </row>
    <row r="57" ht="12.75" customHeight="1">
      <c r="A57" s="20" t="s">
        <v>446</v>
      </c>
      <c r="B57" s="15"/>
      <c r="C57" s="15"/>
      <c r="D57" s="16"/>
      <c r="E57" s="18"/>
    </row>
    <row r="58" ht="31.5" customHeight="1">
      <c r="A58" s="20" t="s">
        <v>447</v>
      </c>
      <c r="B58" s="15"/>
      <c r="C58" s="15"/>
      <c r="D58" s="16"/>
      <c r="E58" s="18"/>
    </row>
    <row r="59" ht="12.75" customHeight="1">
      <c r="A59" s="21" t="s">
        <v>448</v>
      </c>
      <c r="B59" s="15"/>
      <c r="C59" s="15"/>
      <c r="D59" s="15"/>
      <c r="E59" s="16"/>
    </row>
    <row r="60" ht="22.5" customHeight="1">
      <c r="A60" s="14" t="s">
        <v>449</v>
      </c>
      <c r="B60" s="15"/>
      <c r="C60" s="15"/>
      <c r="D60" s="15"/>
      <c r="E60" s="16"/>
    </row>
    <row r="61" ht="12.75" customHeight="1">
      <c r="A61" s="22"/>
      <c r="B61" s="22"/>
      <c r="C61" s="22"/>
      <c r="D61" s="22"/>
      <c r="E61" s="22"/>
    </row>
    <row r="62" ht="12.75" customHeight="1">
      <c r="A62" s="23" t="s">
        <v>450</v>
      </c>
      <c r="B62" s="15"/>
      <c r="C62" s="15"/>
      <c r="D62" s="15"/>
      <c r="E62" s="16"/>
    </row>
    <row r="63" ht="12.75" customHeight="1">
      <c r="A63" s="24"/>
      <c r="B63" s="24"/>
      <c r="C63" s="24"/>
      <c r="D63" s="24"/>
      <c r="E63" s="24"/>
    </row>
    <row r="64" ht="12.75" customHeight="1">
      <c r="A64" s="25"/>
      <c r="B64" s="26"/>
      <c r="C64" s="25"/>
      <c r="D64" s="25"/>
      <c r="E64" s="18"/>
    </row>
    <row r="65" ht="12.75" customHeight="1">
      <c r="A65" s="27" t="s">
        <v>451</v>
      </c>
      <c r="B65" s="28"/>
      <c r="C65" s="29" t="s">
        <v>452</v>
      </c>
      <c r="D65" s="16"/>
      <c r="E65" s="18"/>
    </row>
    <row r="66" ht="12.75" customHeight="1">
      <c r="A66" s="30"/>
      <c r="B66" s="28"/>
      <c r="C66" s="30"/>
      <c r="D66" s="18"/>
      <c r="E66" s="18"/>
    </row>
    <row r="67" ht="12.75" customHeight="1">
      <c r="A67" s="30"/>
      <c r="B67" s="28"/>
      <c r="C67" s="30"/>
      <c r="D67" s="18"/>
      <c r="E67" s="18"/>
    </row>
    <row r="68" ht="12.75" customHeight="1">
      <c r="A68" s="93" t="s">
        <v>136</v>
      </c>
      <c r="B68" s="32"/>
      <c r="C68" s="94"/>
      <c r="D68" s="32"/>
      <c r="E68" s="32"/>
    </row>
    <row r="69" ht="12.75" customHeight="1">
      <c r="A69" s="18"/>
      <c r="B69" s="18"/>
      <c r="C69" s="18"/>
      <c r="D69" s="18"/>
      <c r="E69" s="18"/>
    </row>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B2:C2"/>
    <mergeCell ref="B3:C3"/>
    <mergeCell ref="B4:C4"/>
    <mergeCell ref="C8:C9"/>
    <mergeCell ref="C11:C13"/>
    <mergeCell ref="B12:B14"/>
    <mergeCell ref="A16:C16"/>
    <mergeCell ref="A18:C18"/>
    <mergeCell ref="A19:C19"/>
    <mergeCell ref="A20:C20"/>
    <mergeCell ref="A21:C21"/>
    <mergeCell ref="A22:C22"/>
    <mergeCell ref="A26:B26"/>
    <mergeCell ref="A31:B31"/>
    <mergeCell ref="A32:B32"/>
    <mergeCell ref="A34:A35"/>
    <mergeCell ref="B34:B35"/>
    <mergeCell ref="A47:C47"/>
    <mergeCell ref="A49:B49"/>
    <mergeCell ref="A50:E50"/>
    <mergeCell ref="A51:E51"/>
    <mergeCell ref="A60:E60"/>
    <mergeCell ref="A62:E62"/>
    <mergeCell ref="C65:D65"/>
    <mergeCell ref="A52:E52"/>
    <mergeCell ref="A53:E53"/>
    <mergeCell ref="A54:D54"/>
    <mergeCell ref="A56:D56"/>
    <mergeCell ref="A57:D57"/>
    <mergeCell ref="A58:D58"/>
    <mergeCell ref="A59:E59"/>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71"/>
    <col customWidth="1" min="2" max="2" width="15.71"/>
    <col customWidth="1" min="3" max="3" width="13.29"/>
    <col customWidth="1" min="4" max="26" width="10.71"/>
  </cols>
  <sheetData>
    <row r="1" ht="12.75" customHeight="1"/>
    <row r="2" ht="12.75" customHeight="1">
      <c r="A2" s="1" t="s">
        <v>83</v>
      </c>
      <c r="B2" s="1" t="s">
        <v>84</v>
      </c>
    </row>
    <row r="3" ht="13.5" customHeight="1">
      <c r="A3" s="2" t="s">
        <v>453</v>
      </c>
      <c r="B3" s="3"/>
    </row>
    <row r="4" ht="15.0" customHeight="1">
      <c r="A4" s="1" t="s">
        <v>454</v>
      </c>
      <c r="B4" s="3"/>
    </row>
    <row r="5" ht="12.75" customHeight="1">
      <c r="A5" s="4" t="s">
        <v>90</v>
      </c>
      <c r="B5" s="5"/>
      <c r="C5" s="5"/>
    </row>
    <row r="6" ht="13.5" customHeight="1">
      <c r="A6" s="1" t="s">
        <v>8</v>
      </c>
      <c r="B6" s="105">
        <v>800.0</v>
      </c>
      <c r="C6" s="159"/>
    </row>
    <row r="7" ht="12.75" customHeight="1">
      <c r="A7" s="6" t="s">
        <v>455</v>
      </c>
      <c r="B7" s="105">
        <v>3450.0</v>
      </c>
      <c r="C7" s="8">
        <f>SUM(B6,B7)</f>
        <v>4250</v>
      </c>
    </row>
    <row r="8" ht="12.75" customHeight="1">
      <c r="A8" s="6" t="s">
        <v>410</v>
      </c>
    </row>
    <row r="9" ht="12.75" customHeight="1">
      <c r="A9" s="6" t="s">
        <v>411</v>
      </c>
      <c r="C9" s="8"/>
    </row>
    <row r="10" ht="12.75" customHeight="1">
      <c r="A10" s="1"/>
      <c r="B10" s="10" t="s">
        <v>9</v>
      </c>
      <c r="C10" s="106">
        <v>4250.0</v>
      </c>
    </row>
    <row r="11" ht="12.75" customHeight="1">
      <c r="A11" s="1"/>
      <c r="B11" s="1"/>
      <c r="C11" s="11"/>
    </row>
    <row r="12" ht="12.75" customHeight="1">
      <c r="A12" s="1" t="s">
        <v>456</v>
      </c>
    </row>
    <row r="13" ht="13.5" customHeight="1">
      <c r="A13" s="1" t="s">
        <v>413</v>
      </c>
      <c r="B13" s="1"/>
      <c r="C13" s="1"/>
    </row>
    <row r="14" ht="12.75" customHeight="1">
      <c r="A14" s="6" t="s">
        <v>457</v>
      </c>
    </row>
    <row r="15" ht="12.75" customHeight="1">
      <c r="A15" s="6" t="s">
        <v>458</v>
      </c>
    </row>
    <row r="16" ht="12.75" customHeight="1">
      <c r="A16" s="6" t="s">
        <v>459</v>
      </c>
    </row>
    <row r="17" ht="12.75" customHeight="1">
      <c r="A17" s="6"/>
    </row>
    <row r="18" ht="24.75" customHeight="1">
      <c r="A18" s="1" t="s">
        <v>460</v>
      </c>
    </row>
    <row r="19" ht="12.75" customHeight="1"/>
    <row r="20" ht="12.75" customHeight="1"/>
    <row r="21" ht="12.75" customHeight="1">
      <c r="A21" s="1" t="s">
        <v>461</v>
      </c>
    </row>
    <row r="22" ht="27.0" customHeight="1">
      <c r="A22" s="124"/>
      <c r="B22" s="124"/>
      <c r="C22" s="124"/>
    </row>
    <row r="23" ht="135.75" customHeight="1">
      <c r="A23" s="2" t="s">
        <v>462</v>
      </c>
    </row>
    <row r="24" ht="12.75" customHeight="1">
      <c r="A24" s="139" t="s">
        <v>463</v>
      </c>
    </row>
    <row r="25" ht="12.75" customHeight="1">
      <c r="A25" s="13"/>
    </row>
    <row r="26" ht="33.0" customHeight="1">
      <c r="A26" s="14" t="s">
        <v>464</v>
      </c>
      <c r="B26" s="15"/>
      <c r="C26" s="15"/>
      <c r="D26" s="15"/>
      <c r="E26" s="16"/>
    </row>
    <row r="27" ht="25.5" customHeight="1">
      <c r="A27" s="14" t="s">
        <v>465</v>
      </c>
      <c r="B27" s="15"/>
      <c r="C27" s="15"/>
      <c r="D27" s="15"/>
      <c r="E27" s="16"/>
    </row>
    <row r="28" ht="12.75" customHeight="1">
      <c r="A28" s="17" t="s">
        <v>466</v>
      </c>
      <c r="B28" s="15"/>
      <c r="C28" s="15"/>
      <c r="D28" s="16"/>
      <c r="E28" s="18"/>
    </row>
    <row r="29" ht="12.75" customHeight="1">
      <c r="A29" s="19" t="s">
        <v>21</v>
      </c>
      <c r="B29" s="19"/>
      <c r="C29" s="19"/>
      <c r="D29" s="19"/>
      <c r="E29" s="18"/>
    </row>
    <row r="30" ht="24.0" customHeight="1">
      <c r="A30" s="20" t="s">
        <v>467</v>
      </c>
      <c r="B30" s="15"/>
      <c r="C30" s="15"/>
      <c r="D30" s="16"/>
      <c r="E30" s="18"/>
    </row>
    <row r="31" ht="12.75" customHeight="1">
      <c r="A31" s="20" t="s">
        <v>468</v>
      </c>
      <c r="B31" s="15"/>
      <c r="C31" s="15"/>
      <c r="D31" s="16"/>
      <c r="E31" s="18"/>
    </row>
    <row r="32" ht="31.5" customHeight="1">
      <c r="A32" s="20" t="s">
        <v>469</v>
      </c>
      <c r="B32" s="15"/>
      <c r="C32" s="15"/>
      <c r="D32" s="16"/>
      <c r="E32" s="18"/>
    </row>
    <row r="33" ht="12.75" customHeight="1">
      <c r="A33" s="21" t="s">
        <v>470</v>
      </c>
      <c r="B33" s="15"/>
      <c r="C33" s="15"/>
      <c r="D33" s="15"/>
      <c r="E33" s="16"/>
    </row>
    <row r="34" ht="25.5" customHeight="1">
      <c r="A34" s="14" t="s">
        <v>471</v>
      </c>
      <c r="B34" s="15"/>
      <c r="C34" s="15"/>
      <c r="D34" s="15"/>
      <c r="E34" s="16"/>
    </row>
    <row r="35" ht="12.75" customHeight="1">
      <c r="A35" s="22"/>
      <c r="B35" s="22"/>
      <c r="C35" s="22"/>
      <c r="D35" s="22"/>
      <c r="E35" s="22"/>
    </row>
    <row r="36" ht="12.75" customHeight="1">
      <c r="A36" s="23" t="s">
        <v>472</v>
      </c>
      <c r="B36" s="15"/>
      <c r="C36" s="15"/>
      <c r="D36" s="15"/>
      <c r="E36" s="16"/>
    </row>
    <row r="37" ht="12.75" customHeight="1">
      <c r="A37" s="24"/>
      <c r="B37" s="24"/>
      <c r="C37" s="24"/>
      <c r="D37" s="24"/>
      <c r="E37" s="24"/>
    </row>
    <row r="38" ht="12.75" customHeight="1">
      <c r="A38" s="25"/>
      <c r="B38" s="26"/>
      <c r="C38" s="25"/>
      <c r="D38" s="25"/>
      <c r="E38" s="18"/>
    </row>
    <row r="39" ht="29.25" customHeight="1">
      <c r="A39" s="27" t="s">
        <v>473</v>
      </c>
      <c r="B39" s="28"/>
      <c r="C39" s="29" t="s">
        <v>474</v>
      </c>
      <c r="D39" s="16"/>
      <c r="E39" s="18"/>
    </row>
    <row r="40" ht="12.75" customHeight="1">
      <c r="A40" s="30"/>
      <c r="B40" s="28"/>
      <c r="C40" s="30"/>
      <c r="D40" s="18"/>
      <c r="E40" s="18"/>
    </row>
    <row r="41" ht="12.75" customHeight="1">
      <c r="A41" s="30"/>
      <c r="B41" s="28"/>
      <c r="C41" s="30"/>
      <c r="D41" s="18"/>
      <c r="E41" s="18"/>
    </row>
    <row r="42" ht="12.75" customHeight="1">
      <c r="A42" s="93" t="s">
        <v>136</v>
      </c>
      <c r="B42" s="32"/>
      <c r="C42" s="94"/>
      <c r="D42" s="32"/>
      <c r="E42" s="32"/>
    </row>
    <row r="43" ht="12.75" customHeight="1">
      <c r="A43" s="18"/>
      <c r="B43" s="18"/>
      <c r="C43" s="18"/>
      <c r="D43" s="18"/>
      <c r="E43" s="18"/>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B2:C2"/>
    <mergeCell ref="B3:C3"/>
    <mergeCell ref="B4:C4"/>
    <mergeCell ref="B7:B9"/>
    <mergeCell ref="C7:C8"/>
    <mergeCell ref="A12:C12"/>
    <mergeCell ref="A14:C14"/>
    <mergeCell ref="A15:C15"/>
    <mergeCell ref="A16:C16"/>
    <mergeCell ref="A17:C17"/>
    <mergeCell ref="A18:C18"/>
    <mergeCell ref="A21:C21"/>
    <mergeCell ref="A23:B23"/>
    <mergeCell ref="A24:E24"/>
    <mergeCell ref="A33:E33"/>
    <mergeCell ref="A34:E34"/>
    <mergeCell ref="A36:E36"/>
    <mergeCell ref="C39:D39"/>
    <mergeCell ref="A25:E25"/>
    <mergeCell ref="A26:E26"/>
    <mergeCell ref="A27:E27"/>
    <mergeCell ref="A28:D28"/>
    <mergeCell ref="A30:D30"/>
    <mergeCell ref="A31:D31"/>
    <mergeCell ref="A32:D3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86"/>
    <col customWidth="1" min="2" max="2" width="15.14"/>
    <col customWidth="1" min="3" max="3" width="12.86"/>
    <col customWidth="1" min="4" max="26" width="10.71"/>
  </cols>
  <sheetData>
    <row r="1" ht="12.75" customHeight="1">
      <c r="A1" s="160"/>
      <c r="B1" s="160"/>
      <c r="C1" s="160"/>
    </row>
    <row r="2" ht="12.75" customHeight="1">
      <c r="A2" s="1" t="s">
        <v>475</v>
      </c>
      <c r="B2" s="1" t="s">
        <v>84</v>
      </c>
    </row>
    <row r="3" ht="16.5" customHeight="1">
      <c r="A3" s="2" t="s">
        <v>476</v>
      </c>
      <c r="B3" s="3"/>
    </row>
    <row r="4" ht="16.5" customHeight="1">
      <c r="A4" s="1" t="s">
        <v>477</v>
      </c>
      <c r="B4" s="3"/>
    </row>
    <row r="5" ht="19.5" customHeight="1">
      <c r="A5" s="161" t="s">
        <v>478</v>
      </c>
      <c r="B5" s="5"/>
      <c r="C5" s="5"/>
    </row>
    <row r="6" ht="14.25" customHeight="1">
      <c r="A6" s="6" t="s">
        <v>479</v>
      </c>
      <c r="B6" s="7"/>
      <c r="C6" s="8">
        <v>1800.0</v>
      </c>
    </row>
    <row r="7" ht="16.5" customHeight="1">
      <c r="A7" s="6" t="s">
        <v>480</v>
      </c>
      <c r="B7" s="7"/>
    </row>
    <row r="8" ht="15.0" customHeight="1">
      <c r="A8" s="1" t="s">
        <v>481</v>
      </c>
      <c r="B8" s="7"/>
    </row>
    <row r="9" ht="12.75" customHeight="1">
      <c r="A9" s="1"/>
      <c r="B9" s="10" t="s">
        <v>9</v>
      </c>
      <c r="C9" s="106">
        <f>SUM(C6)</f>
        <v>1800</v>
      </c>
    </row>
    <row r="10" ht="12.75" customHeight="1">
      <c r="A10" s="1"/>
      <c r="B10" s="1"/>
      <c r="C10" s="11"/>
    </row>
    <row r="11" ht="12.75" customHeight="1">
      <c r="A11" s="1"/>
      <c r="B11" s="1"/>
      <c r="C11" s="11"/>
    </row>
    <row r="12" ht="12.75" customHeight="1">
      <c r="A12" s="1" t="s">
        <v>482</v>
      </c>
    </row>
    <row r="13" ht="17.25" customHeight="1">
      <c r="A13" s="1" t="s">
        <v>11</v>
      </c>
      <c r="B13" s="1"/>
      <c r="C13" s="1"/>
    </row>
    <row r="14" ht="12.75" customHeight="1">
      <c r="A14" s="6" t="s">
        <v>483</v>
      </c>
    </row>
    <row r="15" ht="12.75" customHeight="1">
      <c r="A15" s="6" t="s">
        <v>484</v>
      </c>
    </row>
    <row r="16" ht="12.75" customHeight="1">
      <c r="A16" s="1"/>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B2:C2"/>
    <mergeCell ref="B3:C3"/>
    <mergeCell ref="B4:C4"/>
    <mergeCell ref="C6:C8"/>
    <mergeCell ref="A12:C12"/>
    <mergeCell ref="A14:C14"/>
    <mergeCell ref="A15:C15"/>
    <mergeCell ref="A16:C16"/>
  </mergeCells>
  <printOptions/>
  <pageMargins bottom="0.75" footer="0.0" header="0.0" left="0.7" right="0.7" top="2.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2025-07-17T23:08:33Z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2025-01-25T00:00:00Z</vt:filetime>
  </property>
  <property fmtid="{D5CDD505-2E9C-101B-9397-08002B2CF9AE}" pid="3" name="Creator">
    <vt:lpwstr>Microsoft® Excel® 2019</vt:lpwstr>
  </property>
  <property fmtid="{D5CDD505-2E9C-101B-9397-08002B2CF9AE}" pid="4" name="LastSaved">
    <vt:filetime>2025-07-17T00:00:00Z</vt:filetime>
  </property>
  <property fmtid="{D5CDD505-2E9C-101B-9397-08002B2CF9AE}" pid="5" name="Producer">
    <vt:lpwstr>Microsoft® Excel® 2019</vt:lpwstr>
  </property>
</Properties>
</file>